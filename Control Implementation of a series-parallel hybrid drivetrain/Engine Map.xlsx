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vann\Desktop\Data Analytics\Control Implementation of a series-parallel hybrid drivetrain\"/>
    </mc:Choice>
  </mc:AlternateContent>
  <xr:revisionPtr revIDLastSave="0" documentId="8_{0412EEDE-3939-41C5-B987-3D9B65E8D2E5}" xr6:coauthVersionLast="47" xr6:coauthVersionMax="47" xr10:uidLastSave="{00000000-0000-0000-0000-000000000000}"/>
  <bookViews>
    <workbookView xWindow="90" yWindow="0" windowWidth="28800" windowHeight="15885" firstSheet="3" activeTab="3" xr2:uid="{CA0A642A-885D-455B-8D76-D946CE71E7E6}"/>
  </bookViews>
  <sheets>
    <sheet name="excel solver" sheetId="1" r:id="rId1"/>
    <sheet name="Answer Report 1" sheetId="4" r:id="rId2"/>
    <sheet name="Sensitivity Report 1" sheetId="5" r:id="rId3"/>
    <sheet name="Engine Models Per Rack" sheetId="3" r:id="rId4"/>
  </sheets>
  <definedNames>
    <definedName name="solver_adj" localSheetId="3" hidden="1">'Engine Models Per Rack'!$G$31,'Engine Models Per Rack'!$G$32,'Engine Models Per Rack'!$G$33</definedName>
    <definedName name="solver_adj" localSheetId="0" hidden="1">'excel solver'!$T$13,'excel solver'!$U$13,'excel solver'!$V$13,'excel solver'!$W$13,'excel solver'!$X$13,'excel solver'!$Y$13,'excel solver'!$Z$13,'excel solver'!$AA$13,'excel solver'!$AB$13,'excel solver'!$AC$13</definedName>
    <definedName name="solver_cvg" localSheetId="3" hidden="1">0.0001</definedName>
    <definedName name="solver_cvg" localSheetId="0" hidden="1">0.0001</definedName>
    <definedName name="solver_drv" localSheetId="3" hidden="1">1</definedName>
    <definedName name="solver_drv" localSheetId="0" hidden="1">1</definedName>
    <definedName name="solver_eng" localSheetId="3" hidden="1">1</definedName>
    <definedName name="solver_eng" localSheetId="0" hidden="1">1</definedName>
    <definedName name="solver_est" localSheetId="3" hidden="1">1</definedName>
    <definedName name="solver_est" localSheetId="0" hidden="1">1</definedName>
    <definedName name="solver_itr" localSheetId="3" hidden="1">2147483647</definedName>
    <definedName name="solver_itr" localSheetId="0" hidden="1">2147483647</definedName>
    <definedName name="solver_lhs1" localSheetId="3" hidden="1">'Engine Models Per Rack'!$G$8</definedName>
    <definedName name="solver_lhs1" localSheetId="0" hidden="1">'excel solver'!$W$13</definedName>
    <definedName name="solver_lhs2" localSheetId="0" hidden="1">'excel solver'!$W$13</definedName>
    <definedName name="solver_mip" localSheetId="3" hidden="1">2147483647</definedName>
    <definedName name="solver_mip" localSheetId="0" hidden="1">2147483647</definedName>
    <definedName name="solver_mni" localSheetId="3" hidden="1">30</definedName>
    <definedName name="solver_mni" localSheetId="0" hidden="1">30</definedName>
    <definedName name="solver_mrt" localSheetId="3" hidden="1">0.075</definedName>
    <definedName name="solver_mrt" localSheetId="0" hidden="1">0.075</definedName>
    <definedName name="solver_msl" localSheetId="3" hidden="1">2</definedName>
    <definedName name="solver_msl" localSheetId="0" hidden="1">2</definedName>
    <definedName name="solver_neg" localSheetId="3" hidden="1">2</definedName>
    <definedName name="solver_neg" localSheetId="0" hidden="1">2</definedName>
    <definedName name="solver_nod" localSheetId="3" hidden="1">2147483647</definedName>
    <definedName name="solver_nod" localSheetId="0" hidden="1">2147483647</definedName>
    <definedName name="solver_num" localSheetId="3" hidden="1">0</definedName>
    <definedName name="solver_num" localSheetId="0" hidden="1">2</definedName>
    <definedName name="solver_nwt" localSheetId="3" hidden="1">1</definedName>
    <definedName name="solver_nwt" localSheetId="0" hidden="1">1</definedName>
    <definedName name="solver_opt" localSheetId="3" hidden="1">'Engine Models Per Rack'!$H$36</definedName>
    <definedName name="solver_opt" localSheetId="0" hidden="1">'excel solver'!$R$37</definedName>
    <definedName name="solver_pre" localSheetId="3" hidden="1">0.000001</definedName>
    <definedName name="solver_pre" localSheetId="0" hidden="1">0.000001</definedName>
    <definedName name="solver_rbv" localSheetId="3" hidden="1">1</definedName>
    <definedName name="solver_rbv" localSheetId="0" hidden="1">1</definedName>
    <definedName name="solver_rel1" localSheetId="3" hidden="1">3</definedName>
    <definedName name="solver_rel1" localSheetId="0" hidden="1">1</definedName>
    <definedName name="solver_rel2" localSheetId="0" hidden="1">3</definedName>
    <definedName name="solver_rhs1" localSheetId="3" hidden="1">0.0000001</definedName>
    <definedName name="solver_rhs1" localSheetId="0" hidden="1">1</definedName>
    <definedName name="solver_rhs2" localSheetId="0" hidden="1">0.01</definedName>
    <definedName name="solver_rlx" localSheetId="3" hidden="1">2</definedName>
    <definedName name="solver_rlx" localSheetId="0" hidden="1">2</definedName>
    <definedName name="solver_rsd" localSheetId="3" hidden="1">0</definedName>
    <definedName name="solver_rsd" localSheetId="0" hidden="1">0</definedName>
    <definedName name="solver_scl" localSheetId="3" hidden="1">1</definedName>
    <definedName name="solver_scl" localSheetId="0" hidden="1">1</definedName>
    <definedName name="solver_sho" localSheetId="3" hidden="1">2</definedName>
    <definedName name="solver_sho" localSheetId="0" hidden="1">2</definedName>
    <definedName name="solver_ssz" localSheetId="3" hidden="1">100</definedName>
    <definedName name="solver_ssz" localSheetId="0" hidden="1">100</definedName>
    <definedName name="solver_tim" localSheetId="3" hidden="1">2147483647</definedName>
    <definedName name="solver_tim" localSheetId="0" hidden="1">2147483647</definedName>
    <definedName name="solver_tol" localSheetId="3" hidden="1">0.01</definedName>
    <definedName name="solver_tol" localSheetId="0" hidden="1">0.01</definedName>
    <definedName name="solver_typ" localSheetId="3" hidden="1">2</definedName>
    <definedName name="solver_typ" localSheetId="0" hidden="1">2</definedName>
    <definedName name="solver_val" localSheetId="3" hidden="1">0</definedName>
    <definedName name="solver_val" localSheetId="0" hidden="1">0</definedName>
    <definedName name="solver_ver" localSheetId="3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3" l="1"/>
  <c r="D36" i="3"/>
  <c r="E32" i="3"/>
  <c r="H32" i="3" s="1"/>
  <c r="E33" i="3"/>
  <c r="H33" i="3" s="1"/>
  <c r="E34" i="3"/>
  <c r="H34" i="3" s="1"/>
  <c r="E35" i="3"/>
  <c r="H35" i="3" s="1"/>
  <c r="E31" i="3"/>
  <c r="H31" i="3" s="1"/>
  <c r="E9" i="3"/>
  <c r="H9" i="3" s="1"/>
  <c r="E10" i="3"/>
  <c r="H10" i="3" s="1"/>
  <c r="E11" i="3"/>
  <c r="H11" i="3" s="1"/>
  <c r="E8" i="3"/>
  <c r="H8" i="3" s="1"/>
  <c r="C12" i="3"/>
  <c r="D12" i="3" s="1"/>
  <c r="C7" i="3"/>
  <c r="D7" i="3" s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6" i="1"/>
  <c r="O12" i="1"/>
  <c r="Q12" i="1" s="1"/>
  <c r="R12" i="1" s="1"/>
  <c r="U9" i="1"/>
  <c r="O7" i="1" s="1"/>
  <c r="Q7" i="1" s="1"/>
  <c r="R7" i="1" s="1"/>
  <c r="I35" i="1"/>
  <c r="H35" i="1"/>
  <c r="K35" i="1" s="1"/>
  <c r="L35" i="1" s="1"/>
  <c r="G35" i="1"/>
  <c r="I34" i="1"/>
  <c r="H34" i="1"/>
  <c r="K34" i="1" s="1"/>
  <c r="L34" i="1" s="1"/>
  <c r="G34" i="1"/>
  <c r="I33" i="1"/>
  <c r="H33" i="1"/>
  <c r="K33" i="1" s="1"/>
  <c r="L33" i="1" s="1"/>
  <c r="G33" i="1"/>
  <c r="I32" i="1"/>
  <c r="H32" i="1"/>
  <c r="K32" i="1" s="1"/>
  <c r="G32" i="1"/>
  <c r="I31" i="1"/>
  <c r="H31" i="1"/>
  <c r="K31" i="1" s="1"/>
  <c r="L31" i="1" s="1"/>
  <c r="G31" i="1"/>
  <c r="I30" i="1"/>
  <c r="H30" i="1"/>
  <c r="K30" i="1" s="1"/>
  <c r="G30" i="1"/>
  <c r="I29" i="1"/>
  <c r="H29" i="1"/>
  <c r="K29" i="1" s="1"/>
  <c r="L29" i="1" s="1"/>
  <c r="G29" i="1"/>
  <c r="I28" i="1"/>
  <c r="H28" i="1"/>
  <c r="K28" i="1" s="1"/>
  <c r="G28" i="1"/>
  <c r="I27" i="1"/>
  <c r="H27" i="1"/>
  <c r="K27" i="1" s="1"/>
  <c r="G27" i="1"/>
  <c r="I26" i="1"/>
  <c r="H26" i="1"/>
  <c r="K26" i="1" s="1"/>
  <c r="L26" i="1" s="1"/>
  <c r="G26" i="1"/>
  <c r="I25" i="1"/>
  <c r="H25" i="1"/>
  <c r="K25" i="1" s="1"/>
  <c r="G25" i="1"/>
  <c r="I24" i="1"/>
  <c r="H24" i="1"/>
  <c r="K24" i="1" s="1"/>
  <c r="L24" i="1" s="1"/>
  <c r="G24" i="1"/>
  <c r="I23" i="1"/>
  <c r="H23" i="1"/>
  <c r="K23" i="1" s="1"/>
  <c r="L23" i="1" s="1"/>
  <c r="G23" i="1"/>
  <c r="I22" i="1"/>
  <c r="H22" i="1"/>
  <c r="K22" i="1" s="1"/>
  <c r="L22" i="1" s="1"/>
  <c r="G22" i="1"/>
  <c r="I21" i="1"/>
  <c r="H21" i="1"/>
  <c r="K21" i="1" s="1"/>
  <c r="L21" i="1" s="1"/>
  <c r="G21" i="1"/>
  <c r="I20" i="1"/>
  <c r="H20" i="1"/>
  <c r="K20" i="1" s="1"/>
  <c r="G20" i="1"/>
  <c r="I19" i="1"/>
  <c r="H19" i="1"/>
  <c r="K19" i="1" s="1"/>
  <c r="G19" i="1"/>
  <c r="I18" i="1"/>
  <c r="H18" i="1"/>
  <c r="K18" i="1" s="1"/>
  <c r="G18" i="1"/>
  <c r="I17" i="1"/>
  <c r="H17" i="1"/>
  <c r="K17" i="1" s="1"/>
  <c r="L17" i="1" s="1"/>
  <c r="G17" i="1"/>
  <c r="I16" i="1"/>
  <c r="H16" i="1"/>
  <c r="K16" i="1" s="1"/>
  <c r="L16" i="1" s="1"/>
  <c r="G16" i="1"/>
  <c r="I15" i="1"/>
  <c r="H15" i="1"/>
  <c r="K15" i="1" s="1"/>
  <c r="L15" i="1" s="1"/>
  <c r="G15" i="1"/>
  <c r="I14" i="1"/>
  <c r="H14" i="1"/>
  <c r="K14" i="1" s="1"/>
  <c r="G14" i="1"/>
  <c r="K13" i="1"/>
  <c r="L13" i="1" s="1"/>
  <c r="I13" i="1"/>
  <c r="H13" i="1"/>
  <c r="G13" i="1"/>
  <c r="I12" i="1"/>
  <c r="H12" i="1"/>
  <c r="K12" i="1" s="1"/>
  <c r="L12" i="1" s="1"/>
  <c r="G12" i="1"/>
  <c r="I11" i="1"/>
  <c r="H11" i="1"/>
  <c r="K11" i="1" s="1"/>
  <c r="G11" i="1"/>
  <c r="I10" i="1"/>
  <c r="H10" i="1"/>
  <c r="K10" i="1" s="1"/>
  <c r="G10" i="1"/>
  <c r="I9" i="1"/>
  <c r="H9" i="1"/>
  <c r="K9" i="1" s="1"/>
  <c r="L9" i="1" s="1"/>
  <c r="G9" i="1"/>
  <c r="I8" i="1"/>
  <c r="H8" i="1"/>
  <c r="K8" i="1" s="1"/>
  <c r="G8" i="1"/>
  <c r="I7" i="1"/>
  <c r="H7" i="1"/>
  <c r="K7" i="1" s="1"/>
  <c r="L7" i="1" s="1"/>
  <c r="G7" i="1"/>
  <c r="I6" i="1"/>
  <c r="H6" i="1"/>
  <c r="K6" i="1" s="1"/>
  <c r="L6" i="1" s="1"/>
  <c r="G6" i="1"/>
  <c r="H36" i="3" l="1"/>
  <c r="H12" i="3"/>
  <c r="O28" i="1"/>
  <c r="Q28" i="1" s="1"/>
  <c r="R28" i="1" s="1"/>
  <c r="O22" i="1"/>
  <c r="Q22" i="1" s="1"/>
  <c r="R22" i="1" s="1"/>
  <c r="O21" i="1"/>
  <c r="Q21" i="1" s="1"/>
  <c r="R21" i="1" s="1"/>
  <c r="O6" i="1"/>
  <c r="O20" i="1"/>
  <c r="Q20" i="1" s="1"/>
  <c r="R20" i="1" s="1"/>
  <c r="O35" i="1"/>
  <c r="Q35" i="1" s="1"/>
  <c r="R35" i="1" s="1"/>
  <c r="O19" i="1"/>
  <c r="Q19" i="1" s="1"/>
  <c r="R19" i="1" s="1"/>
  <c r="O18" i="1"/>
  <c r="Q18" i="1" s="1"/>
  <c r="R18" i="1" s="1"/>
  <c r="O34" i="1"/>
  <c r="Q34" i="1" s="1"/>
  <c r="R34" i="1" s="1"/>
  <c r="O33" i="1"/>
  <c r="Q33" i="1" s="1"/>
  <c r="R33" i="1" s="1"/>
  <c r="O17" i="1"/>
  <c r="Q17" i="1" s="1"/>
  <c r="R17" i="1" s="1"/>
  <c r="O32" i="1"/>
  <c r="Q32" i="1" s="1"/>
  <c r="R32" i="1" s="1"/>
  <c r="O16" i="1"/>
  <c r="Q16" i="1" s="1"/>
  <c r="R16" i="1" s="1"/>
  <c r="O31" i="1"/>
  <c r="Q31" i="1" s="1"/>
  <c r="R31" i="1" s="1"/>
  <c r="O15" i="1"/>
  <c r="Q15" i="1" s="1"/>
  <c r="R15" i="1" s="1"/>
  <c r="O30" i="1"/>
  <c r="Q30" i="1" s="1"/>
  <c r="R30" i="1" s="1"/>
  <c r="O14" i="1"/>
  <c r="Q14" i="1" s="1"/>
  <c r="R14" i="1" s="1"/>
  <c r="O29" i="1"/>
  <c r="Q29" i="1" s="1"/>
  <c r="R29" i="1" s="1"/>
  <c r="O13" i="1"/>
  <c r="Q13" i="1" s="1"/>
  <c r="R13" i="1" s="1"/>
  <c r="O27" i="1"/>
  <c r="Q27" i="1" s="1"/>
  <c r="R27" i="1" s="1"/>
  <c r="O11" i="1"/>
  <c r="Q11" i="1" s="1"/>
  <c r="R11" i="1" s="1"/>
  <c r="O26" i="1"/>
  <c r="Q26" i="1" s="1"/>
  <c r="R26" i="1" s="1"/>
  <c r="O10" i="1"/>
  <c r="Q10" i="1" s="1"/>
  <c r="R10" i="1" s="1"/>
  <c r="O25" i="1"/>
  <c r="Q25" i="1" s="1"/>
  <c r="R25" i="1" s="1"/>
  <c r="O9" i="1"/>
  <c r="Q9" i="1" s="1"/>
  <c r="R9" i="1" s="1"/>
  <c r="O24" i="1"/>
  <c r="Q24" i="1" s="1"/>
  <c r="R24" i="1" s="1"/>
  <c r="O8" i="1"/>
  <c r="Q8" i="1" s="1"/>
  <c r="R8" i="1" s="1"/>
  <c r="O23" i="1"/>
  <c r="Q23" i="1" s="1"/>
  <c r="R23" i="1" s="1"/>
  <c r="L28" i="1"/>
  <c r="L19" i="1"/>
  <c r="L10" i="1"/>
  <c r="L27" i="1"/>
  <c r="L20" i="1"/>
  <c r="L25" i="1"/>
  <c r="L30" i="1"/>
  <c r="L14" i="1"/>
  <c r="L18" i="1"/>
  <c r="L8" i="1"/>
  <c r="L11" i="1"/>
  <c r="L32" i="1"/>
  <c r="Q6" i="1" l="1"/>
  <c r="R6" i="1" s="1"/>
  <c r="R37" i="1" s="1"/>
  <c r="T18" i="1"/>
  <c r="T20" i="1" s="1"/>
</calcChain>
</file>

<file path=xl/sharedStrings.xml><?xml version="1.0" encoding="utf-8"?>
<sst xmlns="http://schemas.openxmlformats.org/spreadsheetml/2006/main" count="151" uniqueCount="96">
  <si>
    <t>ENGINE DATA (14 may 2025)</t>
  </si>
  <si>
    <t>raw data</t>
  </si>
  <si>
    <t>v,m*(71rpm/v)*(16/15)</t>
  </si>
  <si>
    <t>[absolute]</t>
  </si>
  <si>
    <t>[A/B/C]</t>
  </si>
  <si>
    <t>[g]</t>
  </si>
  <si>
    <t>[s]</t>
  </si>
  <si>
    <t>[V]</t>
  </si>
  <si>
    <t>[A]</t>
  </si>
  <si>
    <t>[g/s]</t>
  </si>
  <si>
    <t>[kW]</t>
  </si>
  <si>
    <t>[rpm]</t>
  </si>
  <si>
    <t>[%]</t>
  </si>
  <si>
    <t>[Nm]</t>
  </si>
  <si>
    <t>[kg/kWh]</t>
  </si>
  <si>
    <t>BSFC goering</t>
  </si>
  <si>
    <t>err</t>
  </si>
  <si>
    <t>err^2</t>
  </si>
  <si>
    <t>throttle</t>
  </si>
  <si>
    <t>load</t>
  </si>
  <si>
    <t>Fuel Consumed</t>
  </si>
  <si>
    <t>Time Elapsed</t>
  </si>
  <si>
    <t>Voltage-Motor</t>
  </si>
  <si>
    <t>Current-Motor</t>
  </si>
  <si>
    <t>Fuel Rate</t>
  </si>
  <si>
    <t>Power-Motor</t>
  </si>
  <si>
    <t>rpm-Engine</t>
  </si>
  <si>
    <t>Efficiency-Motor</t>
  </si>
  <si>
    <t>Power-Engine</t>
  </si>
  <si>
    <t>Torque-Engine</t>
  </si>
  <si>
    <t>ave SFC</t>
  </si>
  <si>
    <t>bc</t>
  </si>
  <si>
    <t>Hg</t>
  </si>
  <si>
    <t>[kJ/kg]</t>
  </si>
  <si>
    <t>ab</t>
  </si>
  <si>
    <t>De</t>
  </si>
  <si>
    <t>[cc]</t>
  </si>
  <si>
    <t>b</t>
  </si>
  <si>
    <t>abc</t>
  </si>
  <si>
    <t>3600/Hg</t>
  </si>
  <si>
    <t>A0</t>
  </si>
  <si>
    <t>A1</t>
  </si>
  <si>
    <t>A2</t>
  </si>
  <si>
    <t>eito</t>
  </si>
  <si>
    <t>n</t>
  </si>
  <si>
    <t>B0</t>
  </si>
  <si>
    <t>B1</t>
  </si>
  <si>
    <t>B2</t>
  </si>
  <si>
    <t>B3</t>
  </si>
  <si>
    <t>B4</t>
  </si>
  <si>
    <t>c</t>
  </si>
  <si>
    <t>pearson</t>
  </si>
  <si>
    <t>rsq</t>
  </si>
  <si>
    <t>ac</t>
  </si>
  <si>
    <t>a</t>
  </si>
  <si>
    <t>ssqe</t>
  </si>
  <si>
    <t>Microsoft Excel 16.0 Answer Report</t>
  </si>
  <si>
    <t>Worksheet: [Book2]Sheet3</t>
  </si>
  <si>
    <t>Report Created: 15/05/2025 18:40:28</t>
  </si>
  <si>
    <t>Result: Solver found a solution.  All Constraints and optimality conditions are satisfied.</t>
  </si>
  <si>
    <t>Solver Engine</t>
  </si>
  <si>
    <t>Engine: GRG Nonlinear</t>
  </si>
  <si>
    <t>Solution Time: 0.016 Seconds.</t>
  </si>
  <si>
    <t>Iterations: 1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</si>
  <si>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</si>
  <si>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</si>
  <si>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</si>
  <si>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</si>
  <si>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</si>
  <si>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</si>
  <si>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</si>
  <si>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</si>
  <si>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</si>
  <si>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$H$12</t>
  </si>
  <si>
    <t>Variable Cells</t>
  </si>
  <si>
    <t>Integer</t>
  </si>
  <si>
    <t>$G$8</t>
  </si>
  <si>
    <t>Contin</t>
  </si>
  <si>
    <t>$G$9</t>
  </si>
  <si>
    <t>$G$10</t>
  </si>
  <si>
    <t>Constraints</t>
  </si>
  <si>
    <t>NONE</t>
  </si>
  <si>
    <t>Microsoft Excel 16.0 Sensitivity Report</t>
  </si>
  <si>
    <t>Report Created: 15/05/2025 18:40:29</t>
  </si>
  <si>
    <t>Final</t>
  </si>
  <si>
    <t>Reduced</t>
  </si>
  <si>
    <t>Value</t>
  </si>
  <si>
    <t>Gradient</t>
  </si>
  <si>
    <t>engine rpm</t>
  </si>
  <si>
    <t>sfc [kg/kwh]</t>
  </si>
  <si>
    <t>y = ax^2 + bx + c</t>
  </si>
  <si>
    <t>rack 0</t>
  </si>
  <si>
    <t>rack 1</t>
  </si>
  <si>
    <t>rack 1.5</t>
  </si>
  <si>
    <t>rack 2.5</t>
  </si>
  <si>
    <t>rack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</si>
</sst>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9"/>
      <color rgb="FF59595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1" applyNumberFormat="1" applyFont="1"/>
    <xf numFmtId="11" fontId="0" fillId="0" borderId="0" xfId="0" applyNumberFormat="1"/>
    <xf numFmtId="0" fontId="0" fillId="0" borderId="4" xfId="0" applyBorder="1"/>
    <xf numFmtId="0" fontId="4" fillId="0" borderId="3" xfId="0" applyFont="1" applyBorder="1" applyAlignment="1">
      <alignment horizontal="center"/>
    </xf>
    <xf numFmtId="0" fontId="0" fillId="0" borderId="5" xfId="0" applyBorder="1"/>
    <xf numFmtId="11" fontId="0" fillId="0" borderId="4" xfId="0" applyNumberFormat="1" applyBorder="1"/>
    <xf numFmtId="11" fontId="0" fillId="0" borderId="5" xfId="0" applyNumberFormat="1" applyBorder="1"/>
    <xf numFmtId="0" fontId="4" fillId="0" borderId="3" xfId="0" applyFont="1" applyBorder="1" applyAlignment="1">
      <alignment horizontal="centerContinuous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colors>
    <mruColors>
      <color rgb="FF05FF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l-PH"/>
              <a:t>rack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l-P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l-PH"/>
                </a:p>
              </c:txPr>
            </c:trendlineLbl>
          </c:trendline>
          <c:xVal>
            <c:numRef>
              <c:f>'Engine Models Per Rack'!$C$3:$C$6</c:f>
              <c:numCache>
                <c:formatCode>General</c:formatCode>
                <c:ptCount val="4"/>
                <c:pt idx="0">
                  <c:v>1173.8666666666666</c:v>
                </c:pt>
                <c:pt idx="1">
                  <c:v>1158.72</c:v>
                </c:pt>
                <c:pt idx="2">
                  <c:v>1211.7333333333333</c:v>
                </c:pt>
                <c:pt idx="3">
                  <c:v>1098.1333333333332</c:v>
                </c:pt>
              </c:numCache>
            </c:numRef>
          </c:xVal>
          <c:yVal>
            <c:numRef>
              <c:f>'Engine Models Per Rack'!$D$3:$D$6</c:f>
              <c:numCache>
                <c:formatCode>General</c:formatCode>
                <c:ptCount val="4"/>
                <c:pt idx="0">
                  <c:v>0.53137685134393853</c:v>
                </c:pt>
                <c:pt idx="1">
                  <c:v>0.5338300864322546</c:v>
                </c:pt>
                <c:pt idx="2">
                  <c:v>0.50680779009231369</c:v>
                </c:pt>
                <c:pt idx="3">
                  <c:v>0.52516068149357276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22-410F-B09D-8D2F4FC3E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085584"/>
        <c:axId val="2030063504"/>
      </c:scatterChart>
      <c:valAx>
        <c:axId val="203008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063504"/>
        <c:crosses val="autoZero"/>
        <c:crossBetween val="midCat"/>
      </c:valAx>
      <c:valAx>
        <c:axId val="203006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08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l-P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l-PH"/>
              <a:t>rack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l-P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3.9724651832768923E-2"/>
                  <c:y val="0.436399763440503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l-PH"/>
                </a:p>
              </c:txPr>
            </c:trendlineLbl>
          </c:trendline>
          <c:xVal>
            <c:numRef>
              <c:f>'Engine Models Per Rack'!$C$8:$C$11</c:f>
              <c:numCache>
                <c:formatCode>General</c:formatCode>
                <c:ptCount val="4"/>
                <c:pt idx="0">
                  <c:v>1741.8666666666666</c:v>
                </c:pt>
                <c:pt idx="1">
                  <c:v>1779.7333333333333</c:v>
                </c:pt>
                <c:pt idx="2">
                  <c:v>1711.5733333333335</c:v>
                </c:pt>
                <c:pt idx="3">
                  <c:v>1666.1333333333332</c:v>
                </c:pt>
              </c:numCache>
            </c:numRef>
          </c:xVal>
          <c:yVal>
            <c:numRef>
              <c:f>'Engine Models Per Rack'!$D$8:$D$11</c:f>
              <c:numCache>
                <c:formatCode>General</c:formatCode>
                <c:ptCount val="4"/>
                <c:pt idx="0">
                  <c:v>0.47650245442814115</c:v>
                </c:pt>
                <c:pt idx="1">
                  <c:v>0.48528278221066212</c:v>
                </c:pt>
                <c:pt idx="2">
                  <c:v>0.40960662685999777</c:v>
                </c:pt>
                <c:pt idx="3">
                  <c:v>0.43894911928335939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BD-4536-A0A9-91207C824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080784"/>
        <c:axId val="2030081264"/>
      </c:scatterChart>
      <c:valAx>
        <c:axId val="203008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081264"/>
        <c:crosses val="autoZero"/>
        <c:crossBetween val="midCat"/>
      </c:valAx>
      <c:valAx>
        <c:axId val="203008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08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l-P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l-PH"/>
              <a:t>rack 1.5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l-PH"/>
        </a:p>
      </c:txPr>
    </c:title>
    <c:autoTitleDeleted val="0"/>
    <c:plotArea>
      <c:layout>
        <c:manualLayout>
          <c:layoutTarget val="inner"/>
          <c:xMode val="edge"/>
          <c:yMode val="edge"/>
          <c:x val="0.14037772482998859"/>
          <c:y val="0.17437779121152058"/>
          <c:w val="0.78586338579376525"/>
          <c:h val="0.7243637506673313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527575443511985"/>
                  <c:y val="0.33206698078554242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l-PH"/>
                </a:p>
              </c:txPr>
            </c:trendlineLbl>
          </c:trendline>
          <c:xVal>
            <c:numRef>
              <c:f>'Engine Models Per Rack'!$C$13:$C$16</c:f>
              <c:numCache>
                <c:formatCode>General</c:formatCode>
                <c:ptCount val="4"/>
                <c:pt idx="0">
                  <c:v>1908.48</c:v>
                </c:pt>
                <c:pt idx="1">
                  <c:v>1938.7733333333335</c:v>
                </c:pt>
                <c:pt idx="2">
                  <c:v>1840.32</c:v>
                </c:pt>
                <c:pt idx="3">
                  <c:v>1802.4533333333331</c:v>
                </c:pt>
              </c:numCache>
            </c:numRef>
          </c:xVal>
          <c:yVal>
            <c:numRef>
              <c:f>'Engine Models Per Rack'!$D$13:$D$16</c:f>
              <c:numCache>
                <c:formatCode>General</c:formatCode>
                <c:ptCount val="4"/>
                <c:pt idx="0">
                  <c:v>0.39462222465352204</c:v>
                </c:pt>
                <c:pt idx="1">
                  <c:v>0.4117393895014933</c:v>
                </c:pt>
                <c:pt idx="2">
                  <c:v>0.41112600578673997</c:v>
                </c:pt>
                <c:pt idx="3">
                  <c:v>0.40424359503984664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B-4607-84ED-4AFCF15CD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108144"/>
        <c:axId val="2030110064"/>
      </c:scatterChart>
      <c:valAx>
        <c:axId val="20301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110064"/>
        <c:crosses val="autoZero"/>
        <c:crossBetween val="midCat"/>
      </c:valAx>
      <c:valAx>
        <c:axId val="203011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1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l-P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l-PH"/>
              <a:t>rack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l-P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6572401261513399E-4"/>
                  <c:y val="0.166944824831678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l-PH"/>
                </a:p>
              </c:txPr>
            </c:trendlineLbl>
          </c:trendline>
          <c:xVal>
            <c:numRef>
              <c:f>'Engine Models Per Rack'!$C$18:$C$23</c:f>
              <c:numCache>
                <c:formatCode>General</c:formatCode>
                <c:ptCount val="6"/>
                <c:pt idx="0">
                  <c:v>2090.2400000000002</c:v>
                </c:pt>
                <c:pt idx="1">
                  <c:v>2150.8266666666664</c:v>
                </c:pt>
                <c:pt idx="2">
                  <c:v>2158.4</c:v>
                </c:pt>
                <c:pt idx="3">
                  <c:v>2097.8133333333335</c:v>
                </c:pt>
                <c:pt idx="4">
                  <c:v>2120.5333333333333</c:v>
                </c:pt>
                <c:pt idx="5">
                  <c:v>2014.5066666666669</c:v>
                </c:pt>
              </c:numCache>
            </c:numRef>
          </c:xVal>
          <c:yVal>
            <c:numRef>
              <c:f>'Engine Models Per Rack'!$D$18:$D$23</c:f>
              <c:numCache>
                <c:formatCode>General</c:formatCode>
                <c:ptCount val="6"/>
                <c:pt idx="0">
                  <c:v>0.49531294958581312</c:v>
                </c:pt>
                <c:pt idx="1">
                  <c:v>0.48632579293714256</c:v>
                </c:pt>
                <c:pt idx="2">
                  <c:v>0.46794090938159488</c:v>
                </c:pt>
                <c:pt idx="3">
                  <c:v>0.42610217305049242</c:v>
                </c:pt>
                <c:pt idx="4">
                  <c:v>0.48575884146160636</c:v>
                </c:pt>
                <c:pt idx="5">
                  <c:v>0.57166374052722391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A4-4E77-B3DB-E1828E131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003504"/>
        <c:axId val="2030003984"/>
      </c:scatterChart>
      <c:valAx>
        <c:axId val="203000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003984"/>
        <c:crosses val="autoZero"/>
        <c:crossBetween val="midCat"/>
      </c:valAx>
      <c:valAx>
        <c:axId val="20300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00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l-P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l-PH"/>
              <a:t>rack 2.5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l-P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6.7512583841295548E-2"/>
                  <c:y val="0.20045357923415466"/>
                </c:manualLayout>
              </c:layout>
              <c:numFmt formatCode="#,##0.0000000000;[Red]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l-PH"/>
                </a:p>
              </c:txPr>
            </c:trendlineLbl>
          </c:trendline>
          <c:xVal>
            <c:numRef>
              <c:f>'Engine Models Per Rack'!$C$25:$C$29</c:f>
              <c:numCache>
                <c:formatCode>General</c:formatCode>
                <c:ptCount val="5"/>
                <c:pt idx="0">
                  <c:v>2423.4666666666667</c:v>
                </c:pt>
                <c:pt idx="1">
                  <c:v>2317.44</c:v>
                </c:pt>
                <c:pt idx="2">
                  <c:v>2370.4533333333334</c:v>
                </c:pt>
                <c:pt idx="3">
                  <c:v>2234.1333333333332</c:v>
                </c:pt>
                <c:pt idx="4">
                  <c:v>2112.96</c:v>
                </c:pt>
              </c:numCache>
            </c:numRef>
          </c:xVal>
          <c:yVal>
            <c:numRef>
              <c:f>'Engine Models Per Rack'!$D$25:$D$29</c:f>
              <c:numCache>
                <c:formatCode>General</c:formatCode>
                <c:ptCount val="5"/>
                <c:pt idx="0">
                  <c:v>0.37570566931691329</c:v>
                </c:pt>
                <c:pt idx="1">
                  <c:v>0.39679489993097117</c:v>
                </c:pt>
                <c:pt idx="2">
                  <c:v>0.41096645161750289</c:v>
                </c:pt>
                <c:pt idx="3">
                  <c:v>0.4137420509673147</c:v>
                </c:pt>
                <c:pt idx="4">
                  <c:v>0.52265988221557302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E2-4450-A214-275A9A0FF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065904"/>
        <c:axId val="2030059184"/>
      </c:scatterChart>
      <c:valAx>
        <c:axId val="203006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059184"/>
        <c:crosses val="autoZero"/>
        <c:crossBetween val="midCat"/>
      </c:valAx>
      <c:valAx>
        <c:axId val="203005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06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l-P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l-PH"/>
              <a:t>rack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l-P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793894851778031"/>
                  <c:y val="0.2786840527900708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l-PH"/>
                </a:p>
              </c:txPr>
            </c:trendlineLbl>
          </c:trendline>
          <c:xVal>
            <c:numRef>
              <c:f>'Engine Models Per Rack'!$C$31:$C$35</c:f>
              <c:numCache>
                <c:formatCode>General</c:formatCode>
                <c:ptCount val="5"/>
                <c:pt idx="0">
                  <c:v>2529.4933333333333</c:v>
                </c:pt>
                <c:pt idx="1">
                  <c:v>2415.8933333333334</c:v>
                </c:pt>
                <c:pt idx="2">
                  <c:v>2484.0533333333328</c:v>
                </c:pt>
                <c:pt idx="3">
                  <c:v>2317.44</c:v>
                </c:pt>
                <c:pt idx="4">
                  <c:v>2181.12</c:v>
                </c:pt>
              </c:numCache>
            </c:numRef>
          </c:xVal>
          <c:yVal>
            <c:numRef>
              <c:f>'Engine Models Per Rack'!$D$31:$D$35</c:f>
              <c:numCache>
                <c:formatCode>General</c:formatCode>
                <c:ptCount val="5"/>
                <c:pt idx="0">
                  <c:v>0.39635304182920039</c:v>
                </c:pt>
                <c:pt idx="1">
                  <c:v>0.38054388083686924</c:v>
                </c:pt>
                <c:pt idx="2">
                  <c:v>0.37588673632126851</c:v>
                </c:pt>
                <c:pt idx="3">
                  <c:v>0.40971838197156446</c:v>
                </c:pt>
                <c:pt idx="4">
                  <c:v>0.52217231025443556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7-4B03-BF30-06CF3C724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107664"/>
        <c:axId val="203010814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'Engine Models Per Rack'!$C$31:$C$35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2529.4933333333333</c:v>
                      </c:pt>
                      <c:pt idx="1">
                        <c:v>2415.8933333333334</c:v>
                      </c:pt>
                      <c:pt idx="2">
                        <c:v>2484.0533333333328</c:v>
                      </c:pt>
                      <c:pt idx="3">
                        <c:v>2317.44</c:v>
                      </c:pt>
                      <c:pt idx="4">
                        <c:v>2181.12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'Engine Models Per Rack'!$E$31:$E$35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-0.52100695324444324</c:v>
                      </c:pt>
                      <c:pt idx="1">
                        <c:v>-0.45179880391111205</c:v>
                      </c:pt>
                      <c:pt idx="2">
                        <c:v>-0.49951807431111384</c:v>
                      </c:pt>
                      <c:pt idx="3">
                        <c:v>-0.35006369280000094</c:v>
                      </c:pt>
                      <c:pt idx="4">
                        <c:v>-0.14519109120000095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A77-4B03-BF30-06CF3C724509}"/>
                  </c:ext>
                </c:extLst>
              </c15:ser>
            </c15:filteredScatterSeries>
          </c:ext>
        </c:extLst>
      </c:scatterChart>
      <c:valAx>
        <c:axId val="203010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108144"/>
        <c:crosses val="autoZero"/>
        <c:crossBetween val="midCat"/>
      </c:valAx>
      <c:valAx>
        <c:axId val="203010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10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l-P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'Engine Models Per Rack'!$C$3:$C$6</c:f>
              <c:numCache>
                <c:formatCode>General</c:formatCode>
                <c:ptCount val="4"/>
                <c:pt idx="0">
                  <c:v>1173.8666666666666</c:v>
                </c:pt>
                <c:pt idx="1">
                  <c:v>1158.72</c:v>
                </c:pt>
                <c:pt idx="2">
                  <c:v>1211.7333333333333</c:v>
                </c:pt>
                <c:pt idx="3">
                  <c:v>1098.1333333333332</c:v>
                </c:pt>
              </c:numCache>
            </c:numRef>
          </c:xVal>
          <c:yVal>
            <c:numRef>
              <c:f>'Engine Models Per Rack'!$D$3:$D$6</c:f>
              <c:numCache>
                <c:formatCode>General</c:formatCode>
                <c:ptCount val="4"/>
                <c:pt idx="0">
                  <c:v>0.53137685134393853</c:v>
                </c:pt>
                <c:pt idx="1">
                  <c:v>0.5338300864322546</c:v>
                </c:pt>
                <c:pt idx="2">
                  <c:v>0.50680779009231369</c:v>
                </c:pt>
                <c:pt idx="3">
                  <c:v>0.52516068149357276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ED-4900-A34D-255E7641C758}"/>
            </c:ext>
          </c:extLst>
        </c:ser>
        <c:ser>
          <c:idx val="1"/>
          <c:order val="1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'Engine Models Per Rack'!$C$8:$C$11</c:f>
              <c:numCache>
                <c:formatCode>General</c:formatCode>
                <c:ptCount val="4"/>
                <c:pt idx="0">
                  <c:v>1741.8666666666666</c:v>
                </c:pt>
                <c:pt idx="1">
                  <c:v>1779.7333333333333</c:v>
                </c:pt>
                <c:pt idx="2">
                  <c:v>1711.5733333333335</c:v>
                </c:pt>
                <c:pt idx="3">
                  <c:v>1666.1333333333332</c:v>
                </c:pt>
              </c:numCache>
            </c:numRef>
          </c:xVal>
          <c:yVal>
            <c:numRef>
              <c:f>'Engine Models Per Rack'!$D$8:$D$11</c:f>
              <c:numCache>
                <c:formatCode>General</c:formatCode>
                <c:ptCount val="4"/>
                <c:pt idx="0">
                  <c:v>0.47650245442814115</c:v>
                </c:pt>
                <c:pt idx="1">
                  <c:v>0.48528278221066212</c:v>
                </c:pt>
                <c:pt idx="2">
                  <c:v>0.40960662685999777</c:v>
                </c:pt>
                <c:pt idx="3">
                  <c:v>0.43894911928335939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ED-4900-A34D-255E7641C758}"/>
            </c:ext>
          </c:extLst>
        </c:ser>
        <c:ser>
          <c:idx val="2"/>
          <c:order val="2"/>
          <c:tx>
            <c:v>1.5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'Engine Models Per Rack'!$C$13:$C$16</c:f>
              <c:numCache>
                <c:formatCode>General</c:formatCode>
                <c:ptCount val="4"/>
                <c:pt idx="0">
                  <c:v>1908.48</c:v>
                </c:pt>
                <c:pt idx="1">
                  <c:v>1938.7733333333335</c:v>
                </c:pt>
                <c:pt idx="2">
                  <c:v>1840.32</c:v>
                </c:pt>
                <c:pt idx="3">
                  <c:v>1802.4533333333331</c:v>
                </c:pt>
              </c:numCache>
            </c:numRef>
          </c:xVal>
          <c:yVal>
            <c:numRef>
              <c:f>'Engine Models Per Rack'!$D$13:$D$16</c:f>
              <c:numCache>
                <c:formatCode>General</c:formatCode>
                <c:ptCount val="4"/>
                <c:pt idx="0">
                  <c:v>0.39462222465352204</c:v>
                </c:pt>
                <c:pt idx="1">
                  <c:v>0.4117393895014933</c:v>
                </c:pt>
                <c:pt idx="2">
                  <c:v>0.41112600578673997</c:v>
                </c:pt>
                <c:pt idx="3">
                  <c:v>0.40424359503984664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ED-4900-A34D-255E7641C758}"/>
            </c:ext>
          </c:extLst>
        </c:ser>
        <c:ser>
          <c:idx val="3"/>
          <c:order val="3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'Engine Models Per Rack'!$C$18:$C$23</c:f>
              <c:numCache>
                <c:formatCode>General</c:formatCode>
                <c:ptCount val="6"/>
                <c:pt idx="0">
                  <c:v>2090.2400000000002</c:v>
                </c:pt>
                <c:pt idx="1">
                  <c:v>2150.8266666666664</c:v>
                </c:pt>
                <c:pt idx="2">
                  <c:v>2158.4</c:v>
                </c:pt>
                <c:pt idx="3">
                  <c:v>2097.8133333333335</c:v>
                </c:pt>
                <c:pt idx="4">
                  <c:v>2120.5333333333333</c:v>
                </c:pt>
                <c:pt idx="5">
                  <c:v>2014.5066666666669</c:v>
                </c:pt>
              </c:numCache>
            </c:numRef>
          </c:xVal>
          <c:yVal>
            <c:numRef>
              <c:f>'Engine Models Per Rack'!$D$18:$D$23</c:f>
              <c:numCache>
                <c:formatCode>General</c:formatCode>
                <c:ptCount val="6"/>
                <c:pt idx="0">
                  <c:v>0.49531294958581312</c:v>
                </c:pt>
                <c:pt idx="1">
                  <c:v>0.48632579293714256</c:v>
                </c:pt>
                <c:pt idx="2">
                  <c:v>0.46794090938159488</c:v>
                </c:pt>
                <c:pt idx="3">
                  <c:v>0.42610217305049242</c:v>
                </c:pt>
                <c:pt idx="4">
                  <c:v>0.48575884146160636</c:v>
                </c:pt>
                <c:pt idx="5">
                  <c:v>0.57166374052722391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ED-4900-A34D-255E7641C758}"/>
            </c:ext>
          </c:extLst>
        </c:ser>
        <c:ser>
          <c:idx val="4"/>
          <c:order val="4"/>
          <c:tx>
            <c:v>2.5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'Engine Models Per Rack'!$C$25:$C$29</c:f>
              <c:numCache>
                <c:formatCode>General</c:formatCode>
                <c:ptCount val="5"/>
                <c:pt idx="0">
                  <c:v>2423.4666666666667</c:v>
                </c:pt>
                <c:pt idx="1">
                  <c:v>2317.44</c:v>
                </c:pt>
                <c:pt idx="2">
                  <c:v>2370.4533333333334</c:v>
                </c:pt>
                <c:pt idx="3">
                  <c:v>2234.1333333333332</c:v>
                </c:pt>
                <c:pt idx="4">
                  <c:v>2112.96</c:v>
                </c:pt>
              </c:numCache>
            </c:numRef>
          </c:xVal>
          <c:yVal>
            <c:numRef>
              <c:f>'Engine Models Per Rack'!$D$25:$D$29</c:f>
              <c:numCache>
                <c:formatCode>General</c:formatCode>
                <c:ptCount val="5"/>
                <c:pt idx="0">
                  <c:v>0.37570566931691329</c:v>
                </c:pt>
                <c:pt idx="1">
                  <c:v>0.39679489993097117</c:v>
                </c:pt>
                <c:pt idx="2">
                  <c:v>0.41096645161750289</c:v>
                </c:pt>
                <c:pt idx="3">
                  <c:v>0.4137420509673147</c:v>
                </c:pt>
                <c:pt idx="4">
                  <c:v>0.52265988221557302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ED-4900-A34D-255E7641C758}"/>
            </c:ext>
          </c:extLst>
        </c:ser>
        <c:ser>
          <c:idx val="5"/>
          <c:order val="5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'Engine Models Per Rack'!$C$31:$C$35</c:f>
              <c:numCache>
                <c:formatCode>General</c:formatCode>
                <c:ptCount val="5"/>
                <c:pt idx="0">
                  <c:v>2529.4933333333333</c:v>
                </c:pt>
                <c:pt idx="1">
                  <c:v>2415.8933333333334</c:v>
                </c:pt>
                <c:pt idx="2">
                  <c:v>2484.0533333333328</c:v>
                </c:pt>
                <c:pt idx="3">
                  <c:v>2317.44</c:v>
                </c:pt>
                <c:pt idx="4">
                  <c:v>2181.12</c:v>
                </c:pt>
              </c:numCache>
            </c:numRef>
          </c:xVal>
          <c:yVal>
            <c:numRef>
              <c:f>'Engine Models Per Rack'!$D$31:$D$35</c:f>
              <c:numCache>
                <c:formatCode>General</c:formatCode>
                <c:ptCount val="5"/>
                <c:pt idx="0">
                  <c:v>0.39635304182920039</c:v>
                </c:pt>
                <c:pt idx="1">
                  <c:v>0.38054388083686924</c:v>
                </c:pt>
                <c:pt idx="2">
                  <c:v>0.37588673632126851</c:v>
                </c:pt>
                <c:pt idx="3">
                  <c:v>0.40971838197156446</c:v>
                </c:pt>
                <c:pt idx="4">
                  <c:v>0.52217231025443556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ED-4900-A34D-255E7641C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064944"/>
        <c:axId val="2030108624"/>
      </c:scatterChart>
      <c:valAx>
        <c:axId val="20300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108624"/>
        <c:crosses val="autoZero"/>
        <c:crossBetween val="midCat"/>
      </c:valAx>
      <c:valAx>
        <c:axId val="20301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203006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l-P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Engine</a:t>
            </a:r>
            <a:r>
              <a:rPr lang="en-PH" baseline="0"/>
              <a:t> Map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'Engine Models Per Rack'!$C$3:$C$6</c:f>
              <c:numCache>
                <c:formatCode>General</c:formatCode>
                <c:ptCount val="4"/>
                <c:pt idx="0">
                  <c:v>1173.8666666666666</c:v>
                </c:pt>
                <c:pt idx="1">
                  <c:v>1158.72</c:v>
                </c:pt>
                <c:pt idx="2">
                  <c:v>1211.7333333333333</c:v>
                </c:pt>
                <c:pt idx="3">
                  <c:v>1098.1333333333332</c:v>
                </c:pt>
              </c:numCache>
            </c:numRef>
          </c:xVal>
          <c:yVal>
            <c:numRef>
              <c:f>'Engine Models Per Rack'!$B$3:$B$6</c:f>
              <c:numCache>
                <c:formatCode>General</c:formatCode>
                <c:ptCount val="4"/>
                <c:pt idx="0">
                  <c:v>2.7483568881923253</c:v>
                </c:pt>
                <c:pt idx="1">
                  <c:v>2.9331140943933947</c:v>
                </c:pt>
                <c:pt idx="2">
                  <c:v>3.1873139588009294</c:v>
                </c:pt>
                <c:pt idx="3">
                  <c:v>3.1321472849859049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9F-454A-A63F-3B1C2C079247}"/>
            </c:ext>
          </c:extLst>
        </c:ser>
        <c:ser>
          <c:idx val="1"/>
          <c:order val="1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'Engine Models Per Rack'!$C$8:$C$11</c:f>
              <c:numCache>
                <c:formatCode>General</c:formatCode>
                <c:ptCount val="4"/>
                <c:pt idx="0">
                  <c:v>1741.8666666666666</c:v>
                </c:pt>
                <c:pt idx="1">
                  <c:v>1779.7333333333333</c:v>
                </c:pt>
                <c:pt idx="2">
                  <c:v>1711.5733333333335</c:v>
                </c:pt>
                <c:pt idx="3">
                  <c:v>1666.1333333333332</c:v>
                </c:pt>
              </c:numCache>
            </c:numRef>
          </c:xVal>
          <c:yVal>
            <c:numRef>
              <c:f>'Engine Models Per Rack'!$B$8:$B$11</c:f>
              <c:numCache>
                <c:formatCode>General</c:formatCode>
                <c:ptCount val="4"/>
                <c:pt idx="0">
                  <c:v>3.7711416791942511</c:v>
                </c:pt>
                <c:pt idx="1">
                  <c:v>3.2719898823481537</c:v>
                </c:pt>
                <c:pt idx="2">
                  <c:v>4.9331578556153808</c:v>
                </c:pt>
                <c:pt idx="3">
                  <c:v>5.4455094493611789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9F-454A-A63F-3B1C2C079247}"/>
            </c:ext>
          </c:extLst>
        </c:ser>
        <c:ser>
          <c:idx val="2"/>
          <c:order val="2"/>
          <c:tx>
            <c:v>1.5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'Engine Models Per Rack'!$C$13:$C$16</c:f>
              <c:numCache>
                <c:formatCode>General</c:formatCode>
                <c:ptCount val="4"/>
                <c:pt idx="0">
                  <c:v>1908.48</c:v>
                </c:pt>
                <c:pt idx="1">
                  <c:v>1938.7733333333335</c:v>
                </c:pt>
                <c:pt idx="2">
                  <c:v>1840.32</c:v>
                </c:pt>
                <c:pt idx="3">
                  <c:v>1802.4533333333331</c:v>
                </c:pt>
              </c:numCache>
            </c:numRef>
          </c:xVal>
          <c:yVal>
            <c:numRef>
              <c:f>'Engine Models Per Rack'!$B$13:$B$16</c:f>
              <c:numCache>
                <c:formatCode>General</c:formatCode>
                <c:ptCount val="4"/>
                <c:pt idx="0">
                  <c:v>4.3852637665698886</c:v>
                </c:pt>
                <c:pt idx="1">
                  <c:v>3.7099412263546521</c:v>
                </c:pt>
                <c:pt idx="2">
                  <c:v>5.8028831552798801</c:v>
                </c:pt>
                <c:pt idx="3">
                  <c:v>6.3432310667190448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9F-454A-A63F-3B1C2C079247}"/>
            </c:ext>
          </c:extLst>
        </c:ser>
        <c:ser>
          <c:idx val="3"/>
          <c:order val="3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'Engine Models Per Rack'!$C$18:$C$23</c:f>
              <c:numCache>
                <c:formatCode>General</c:formatCode>
                <c:ptCount val="6"/>
                <c:pt idx="0">
                  <c:v>2090.2400000000002</c:v>
                </c:pt>
                <c:pt idx="1">
                  <c:v>2150.8266666666664</c:v>
                </c:pt>
                <c:pt idx="2">
                  <c:v>2158.4</c:v>
                </c:pt>
                <c:pt idx="3">
                  <c:v>2097.8133333333335</c:v>
                </c:pt>
                <c:pt idx="4">
                  <c:v>2120.5333333333333</c:v>
                </c:pt>
                <c:pt idx="5">
                  <c:v>2014.5066666666669</c:v>
                </c:pt>
              </c:numCache>
            </c:numRef>
          </c:xVal>
          <c:yVal>
            <c:numRef>
              <c:f>'Engine Models Per Rack'!$B$18:$B$23</c:f>
              <c:numCache>
                <c:formatCode>General</c:formatCode>
                <c:ptCount val="6"/>
                <c:pt idx="0">
                  <c:v>4.9191976565385227</c:v>
                </c:pt>
                <c:pt idx="1">
                  <c:v>4.1549392986188698</c:v>
                </c:pt>
                <c:pt idx="2">
                  <c:v>4.1357197373839574</c:v>
                </c:pt>
                <c:pt idx="3">
                  <c:v>4.9116965787559224</c:v>
                </c:pt>
                <c:pt idx="4">
                  <c:v>7.2741902560700904</c:v>
                </c:pt>
                <c:pt idx="5">
                  <c:v>7.8453056115860837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9F-454A-A63F-3B1C2C079247}"/>
            </c:ext>
          </c:extLst>
        </c:ser>
        <c:ser>
          <c:idx val="4"/>
          <c:order val="4"/>
          <c:tx>
            <c:v>2.5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'Engine Models Per Rack'!$C$25:$C$29</c:f>
              <c:numCache>
                <c:formatCode>General</c:formatCode>
                <c:ptCount val="5"/>
                <c:pt idx="0">
                  <c:v>2423.4666666666667</c:v>
                </c:pt>
                <c:pt idx="1">
                  <c:v>2317.44</c:v>
                </c:pt>
                <c:pt idx="2">
                  <c:v>2370.4533333333334</c:v>
                </c:pt>
                <c:pt idx="3">
                  <c:v>2234.1333333333332</c:v>
                </c:pt>
                <c:pt idx="4">
                  <c:v>2112.96</c:v>
                </c:pt>
              </c:numCache>
            </c:numRef>
          </c:xVal>
          <c:yVal>
            <c:numRef>
              <c:f>'Engine Models Per Rack'!$B$25:$B$29</c:f>
              <c:numCache>
                <c:formatCode>General</c:formatCode>
                <c:ptCount val="5"/>
                <c:pt idx="0">
                  <c:v>3.5588905687631804</c:v>
                </c:pt>
                <c:pt idx="1">
                  <c:v>5.2265014772883491</c:v>
                </c:pt>
                <c:pt idx="2">
                  <c:v>4.1990404529386209</c:v>
                </c:pt>
                <c:pt idx="3">
                  <c:v>7.4026207595353286</c:v>
                </c:pt>
                <c:pt idx="4">
                  <c:v>8.1574622917041371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9F-454A-A63F-3B1C2C079247}"/>
            </c:ext>
          </c:extLst>
        </c:ser>
        <c:ser>
          <c:idx val="5"/>
          <c:order val="5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'Engine Models Per Rack'!$C$31:$C$35</c:f>
              <c:numCache>
                <c:formatCode>General</c:formatCode>
                <c:ptCount val="5"/>
                <c:pt idx="0">
                  <c:v>2529.4933333333333</c:v>
                </c:pt>
                <c:pt idx="1">
                  <c:v>2415.8933333333334</c:v>
                </c:pt>
                <c:pt idx="2">
                  <c:v>2484.0533333333328</c:v>
                </c:pt>
                <c:pt idx="3">
                  <c:v>2317.44</c:v>
                </c:pt>
                <c:pt idx="4">
                  <c:v>2181.12</c:v>
                </c:pt>
              </c:numCache>
            </c:numRef>
          </c:xVal>
          <c:yVal>
            <c:numRef>
              <c:f>'Engine Models Per Rack'!$B$31:$B$35</c:f>
              <c:numCache>
                <c:formatCode>General</c:formatCode>
                <c:ptCount val="5"/>
                <c:pt idx="0">
                  <c:v>3.2818972816308589</c:v>
                </c:pt>
                <c:pt idx="1">
                  <c:v>5.3175615131833043</c:v>
                </c:pt>
                <c:pt idx="2">
                  <c:v>4.201488254253908</c:v>
                </c:pt>
                <c:pt idx="3">
                  <c:v>7.511607671110359</c:v>
                </c:pt>
                <c:pt idx="4">
                  <c:v>8.3589744149812368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9F-454A-A63F-3B1C2C079247}"/>
            </c:ext>
          </c:extLst>
        </c:ser>
        <c:ser>
          <c:idx val="6"/>
          <c:order val="6"/>
          <c:tx>
            <c:v>ool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solidFill>
                <a:srgbClr val="FF0000"/>
              </a:solidFill>
              <a:ln w="9525">
                <a:solidFill>
                  <a:srgbClr val="FF66CC"/>
                </a:solidFill>
              </a:ln>
              <a:effectLst/>
            </c:spPr>
          </c:marker>
          <c:xVal>
            <c:numRef>
              <c:f>('Engine Models Per Rack'!$C$5,'Engine Models Per Rack'!$C$10,'Engine Models Per Rack'!$C$13,'Engine Models Per Rack'!$C$21,'Engine Models Per Rack'!$C$25)</c:f>
              <c:numCache>
                <c:formatCode>General</c:formatCode>
                <c:ptCount val="5"/>
                <c:pt idx="0">
                  <c:v>1211.7333333333333</c:v>
                </c:pt>
                <c:pt idx="1">
                  <c:v>1711.5733333333335</c:v>
                </c:pt>
                <c:pt idx="2">
                  <c:v>1908.48</c:v>
                </c:pt>
                <c:pt idx="3">
                  <c:v>2097.8133333333335</c:v>
                </c:pt>
                <c:pt idx="4">
                  <c:v>2423.4666666666667</c:v>
                </c:pt>
              </c:numCache>
            </c:numRef>
          </c:xVal>
          <c:yVal>
            <c:numRef>
              <c:f>('Engine Models Per Rack'!$B$5,'Engine Models Per Rack'!$B$10,'Engine Models Per Rack'!$B$13,'Engine Models Per Rack'!$B$21,'Engine Models Per Rack'!$B$25,'Engine Models Per Rack'!$B$33)</c:f>
              <c:numCache>
                <c:formatCode>General</c:formatCode>
                <c:ptCount val="6"/>
                <c:pt idx="0">
                  <c:v>3.1873139588009294</c:v>
                </c:pt>
                <c:pt idx="1">
                  <c:v>4.9331578556153808</c:v>
                </c:pt>
                <c:pt idx="2">
                  <c:v>4.3852637665698886</c:v>
                </c:pt>
                <c:pt idx="3">
                  <c:v>4.9116965787559224</c:v>
                </c:pt>
                <c:pt idx="4">
                  <c:v>3.5588905687631804</c:v>
                </c:pt>
                <c:pt idx="5">
                  <c:v>4.201488254253908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69F-454A-A63F-3B1C2C07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610752"/>
        <c:axId val="1880612672"/>
      </c:scatterChart>
      <c:valAx>
        <c:axId val="188061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l-PH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l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1880612672"/>
        <c:crosses val="autoZero"/>
        <c:crossBetween val="midCat"/>
      </c:valAx>
      <c:valAx>
        <c:axId val="188061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l-PH"/>
                  <a:t>torque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l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l-PH"/>
          </a:p>
        </c:txPr>
        <c:crossAx val="1880610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l-P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l-P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385508</xdr:colOff>
      <xdr:row>0</xdr:row>
      <xdr:rowOff>171074</xdr:rowOff>
    </xdr:from>
    <xdr:to>
      <xdr:col>15</xdr:col>
      <xdr:colOff>583627</xdr:colOff>
      <xdr:row>15</xdr:row>
      <xdr:rowOff>3863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F2F566-8567-A182-166D-8A11F8960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131508</xdr:colOff>
      <xdr:row>1</xdr:row>
      <xdr:rowOff>34343</xdr:rowOff>
    </xdr:from>
    <xdr:to>
      <xdr:col>20</xdr:col>
      <xdr:colOff>581088</xdr:colOff>
      <xdr:row>15</xdr:row>
      <xdr:rowOff>57203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9E942B-CFDD-7802-A922-151A0B358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309308</xdr:colOff>
      <xdr:row>15</xdr:row>
      <xdr:rowOff>94874</xdr:rowOff>
    </xdr:from>
    <xdr:to>
      <xdr:col>15</xdr:col>
      <xdr:colOff>560767</xdr:colOff>
      <xdr:row>30</xdr:row>
      <xdr:rowOff>11483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796FDB-B98B-D1D0-BC9D-D87FC810F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126428</xdr:colOff>
      <xdr:row>15</xdr:row>
      <xdr:rowOff>117734</xdr:rowOff>
    </xdr:from>
    <xdr:to>
      <xdr:col>20</xdr:col>
      <xdr:colOff>560768</xdr:colOff>
      <xdr:row>30</xdr:row>
      <xdr:rowOff>26723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F01B0B-F96B-4C43-0473-FF21F080B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355321</xdr:colOff>
      <xdr:row>30</xdr:row>
      <xdr:rowOff>93995</xdr:rowOff>
    </xdr:from>
    <xdr:to>
      <xdr:col>15</xdr:col>
      <xdr:colOff>583920</xdr:colOff>
      <xdr:row>41</xdr:row>
      <xdr:rowOff>2555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09BB59-1E0B-FC63-82B9-C523A13B3F06}"/>
            </a:ext>
            <a:ext uri="{147F2762-F138-4A5C-976F-8EAC2B608ADB}">
              <a16:predDERef xmlns:a16="http://schemas.microsoft.com/office/drawing/2014/main" pred="{A9F01B0B-F96B-4C43-0473-FF21F080B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442072</xdr:colOff>
      <xdr:row>36</xdr:row>
      <xdr:rowOff>78890</xdr:rowOff>
    </xdr:from>
    <xdr:to>
      <xdr:col>4</xdr:col>
      <xdr:colOff>868793</xdr:colOff>
      <xdr:row>46</xdr:row>
      <xdr:rowOff>124181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31EFF0-FB8B-37F6-F812-F6A20D2DB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289354</xdr:colOff>
      <xdr:row>43</xdr:row>
      <xdr:rowOff>102443</xdr:rowOff>
    </xdr:from>
    <xdr:to>
      <xdr:col>32</xdr:col>
      <xdr:colOff>594153</xdr:colOff>
      <xdr:row>58</xdr:row>
      <xdr:rowOff>102443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38EE50-48CA-A298-ADC3-2D43514FF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83380</xdr:colOff>
      <xdr:row>1</xdr:row>
      <xdr:rowOff>30867</xdr:rowOff>
    </xdr:from>
    <xdr:to>
      <xdr:col>28</xdr:col>
      <xdr:colOff>388181</xdr:colOff>
      <xdr:row>19</xdr:row>
      <xdr:rowOff>30869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A6ECFFC-E860-1F8E-4B97-A3A73DA6F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3C4F-C8C4-4ED2-A0B2-962BA377FE6A}">
  <dimension ref="A1:AC37"/>
  <sheetViews>
    <sheetView zoomScale="80" workbookViewId="0">
      <selection activeCell="M17" sqref="M17"/>
    </sheetView>
  </sheetViews>
  <sheetFormatPr defaultRowHeight="15" x14ac:dyDescent="0.25"/>
  <cols>
    <col min="14" max="14" width="2.28515625" customWidth="1"/>
  </cols>
  <sheetData>
    <row r="1" spans="1:29" x14ac:dyDescent="0.25">
      <c r="A1" s="1" t="s">
        <v>0</v>
      </c>
      <c r="E1" s="2"/>
      <c r="F1" s="2"/>
      <c r="G1" s="2"/>
    </row>
    <row r="2" spans="1:29" ht="3.6" customHeight="1" x14ac:dyDescent="0.25">
      <c r="E2" s="2"/>
      <c r="F2" s="2"/>
      <c r="G2" s="2"/>
    </row>
    <row r="3" spans="1:29" x14ac:dyDescent="0.25">
      <c r="A3" s="14" t="s">
        <v>1</v>
      </c>
      <c r="B3" s="14"/>
      <c r="C3" s="14"/>
      <c r="D3" s="14"/>
      <c r="E3" s="14"/>
      <c r="F3" s="14"/>
      <c r="G3" s="14"/>
      <c r="J3" t="s">
        <v>2</v>
      </c>
    </row>
    <row r="4" spans="1:29" x14ac:dyDescent="0.25">
      <c r="A4" t="s">
        <v>3</v>
      </c>
      <c r="B4" t="s">
        <v>4</v>
      </c>
      <c r="C4" t="s">
        <v>5</v>
      </c>
      <c r="D4" t="s">
        <v>6</v>
      </c>
      <c r="E4" s="2" t="s">
        <v>7</v>
      </c>
      <c r="F4" s="2" t="s">
        <v>8</v>
      </c>
      <c r="G4" t="s">
        <v>9</v>
      </c>
      <c r="H4" t="s">
        <v>10</v>
      </c>
      <c r="I4" t="s">
        <v>11</v>
      </c>
      <c r="J4" t="s">
        <v>12</v>
      </c>
      <c r="K4" t="s">
        <v>10</v>
      </c>
      <c r="L4" t="s">
        <v>13</v>
      </c>
      <c r="M4" t="s">
        <v>14</v>
      </c>
      <c r="O4" t="s">
        <v>15</v>
      </c>
      <c r="Q4" t="s">
        <v>16</v>
      </c>
      <c r="R4" t="s">
        <v>17</v>
      </c>
    </row>
    <row r="5" spans="1:29" x14ac:dyDescent="0.25">
      <c r="A5" t="s">
        <v>18</v>
      </c>
      <c r="B5" t="s">
        <v>19</v>
      </c>
      <c r="C5" t="s">
        <v>20</v>
      </c>
      <c r="D5" t="s">
        <v>21</v>
      </c>
      <c r="E5" s="2" t="s">
        <v>22</v>
      </c>
      <c r="F5" s="2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</row>
    <row r="6" spans="1:29" x14ac:dyDescent="0.25">
      <c r="A6">
        <v>0</v>
      </c>
      <c r="B6" t="s">
        <v>31</v>
      </c>
      <c r="C6">
        <v>10</v>
      </c>
      <c r="D6">
        <v>200.53</v>
      </c>
      <c r="E6" s="2">
        <v>15.5</v>
      </c>
      <c r="F6" s="2">
        <v>10</v>
      </c>
      <c r="G6">
        <f t="shared" ref="G6:G35" si="0">C6/D6</f>
        <v>4.9867850196978009E-2</v>
      </c>
      <c r="H6">
        <f t="shared" ref="H6:H35" si="1">E6*F6/1000</f>
        <v>0.155</v>
      </c>
      <c r="I6">
        <f t="shared" ref="I6:I35" si="2">E6*71*(16/15)</f>
        <v>1173.8666666666666</v>
      </c>
      <c r="J6" s="3">
        <v>45.878708333333336</v>
      </c>
      <c r="K6">
        <f>H6/(J6/100)</f>
        <v>0.33784734930600524</v>
      </c>
      <c r="L6">
        <f t="shared" ref="L6:L35" si="3">(K6*1000)/(I6*2*PI()/60)</f>
        <v>2.7483568881923253</v>
      </c>
      <c r="M6">
        <f>G6*3.6/K6</f>
        <v>0.53137685134393853</v>
      </c>
      <c r="O6">
        <f t="shared" ref="O6:O35" si="4">( $U$9 ) * ( 1 + ($U$7/(4*PI()*L6))*($T$13+$U$13*(I6/1000)+$V$13*(I6/1000)^2) ) * ( 1/$W$13 * (1+(L6^$X$13)*($Y$13+$Z$13*((I6/1000)^(-1))+$AA$13*((I6/1000)^(-2))+$AB$13*((I6/1000)^(-3))+$AC$13*((I6/1000)^(-4)))))</f>
        <v>0.54909652130964837</v>
      </c>
      <c r="Q6">
        <f>O6-M6</f>
        <v>1.7719669965709839E-2</v>
      </c>
      <c r="R6">
        <f>Q6^2</f>
        <v>3.1398670369367932E-4</v>
      </c>
      <c r="T6" t="s">
        <v>32</v>
      </c>
      <c r="U6">
        <v>43000</v>
      </c>
      <c r="V6" t="s">
        <v>33</v>
      </c>
    </row>
    <row r="7" spans="1:29" x14ac:dyDescent="0.25">
      <c r="A7">
        <v>0</v>
      </c>
      <c r="B7" t="s">
        <v>34</v>
      </c>
      <c r="C7">
        <v>10</v>
      </c>
      <c r="D7">
        <v>189.48</v>
      </c>
      <c r="E7" s="2">
        <v>15.3</v>
      </c>
      <c r="F7" s="2">
        <v>13.2</v>
      </c>
      <c r="G7">
        <f t="shared" si="0"/>
        <v>5.2776018577158544E-2</v>
      </c>
      <c r="H7">
        <f t="shared" si="1"/>
        <v>0.20196</v>
      </c>
      <c r="I7">
        <f t="shared" si="2"/>
        <v>1158.72</v>
      </c>
      <c r="J7" s="3">
        <v>56.745219999999996</v>
      </c>
      <c r="K7">
        <f t="shared" ref="K7:K35" si="5">H7/(J7/100)</f>
        <v>0.35590662966854303</v>
      </c>
      <c r="L7">
        <f t="shared" si="3"/>
        <v>2.9331140943933947</v>
      </c>
      <c r="M7">
        <f t="shared" ref="M7:M35" si="6">G7*3.6/K7</f>
        <v>0.5338300864322546</v>
      </c>
      <c r="O7">
        <f t="shared" si="4"/>
        <v>0.53061163568365399</v>
      </c>
      <c r="Q7">
        <f t="shared" ref="Q7:Q35" si="7">O7-M7</f>
        <v>-3.2184507486006098E-3</v>
      </c>
      <c r="R7">
        <f t="shared" ref="R7:R35" si="8">Q7^2</f>
        <v>1.0358425221167825E-5</v>
      </c>
      <c r="T7" t="s">
        <v>35</v>
      </c>
      <c r="U7">
        <v>211</v>
      </c>
      <c r="V7" t="s">
        <v>36</v>
      </c>
    </row>
    <row r="8" spans="1:29" x14ac:dyDescent="0.25">
      <c r="A8">
        <v>0</v>
      </c>
      <c r="B8" t="s">
        <v>37</v>
      </c>
      <c r="C8">
        <v>10</v>
      </c>
      <c r="D8">
        <v>175.63</v>
      </c>
      <c r="E8" s="2">
        <v>16</v>
      </c>
      <c r="F8" s="2">
        <v>6.9</v>
      </c>
      <c r="G8">
        <f t="shared" si="0"/>
        <v>5.6937880772077662E-2</v>
      </c>
      <c r="H8">
        <f t="shared" si="1"/>
        <v>0.11040000000000001</v>
      </c>
      <c r="I8">
        <f t="shared" si="2"/>
        <v>1211.7333333333333</v>
      </c>
      <c r="J8" s="3">
        <v>27.296600000000005</v>
      </c>
      <c r="K8">
        <f t="shared" si="5"/>
        <v>0.40444597495658796</v>
      </c>
      <c r="L8">
        <f t="shared" si="3"/>
        <v>3.1873139588009294</v>
      </c>
      <c r="M8">
        <f t="shared" si="6"/>
        <v>0.50680779009231369</v>
      </c>
      <c r="O8">
        <f t="shared" si="4"/>
        <v>0.49769960667234742</v>
      </c>
      <c r="Q8">
        <f t="shared" si="7"/>
        <v>-9.1081834199662759E-3</v>
      </c>
      <c r="R8">
        <f t="shared" si="8"/>
        <v>8.2959005211748571E-5</v>
      </c>
    </row>
    <row r="9" spans="1:29" x14ac:dyDescent="0.25">
      <c r="A9">
        <v>0</v>
      </c>
      <c r="B9" t="s">
        <v>38</v>
      </c>
      <c r="C9">
        <v>10</v>
      </c>
      <c r="D9">
        <v>190.32</v>
      </c>
      <c r="E9" s="2">
        <v>14.5</v>
      </c>
      <c r="F9" s="2">
        <v>15.6</v>
      </c>
      <c r="G9">
        <f t="shared" si="0"/>
        <v>5.2543085329970575E-2</v>
      </c>
      <c r="H9">
        <f t="shared" si="1"/>
        <v>0.22619999999999998</v>
      </c>
      <c r="I9">
        <f t="shared" si="2"/>
        <v>1098.1333333333332</v>
      </c>
      <c r="J9" s="3">
        <v>62.801024999999996</v>
      </c>
      <c r="K9">
        <f t="shared" si="5"/>
        <v>0.36018520398353371</v>
      </c>
      <c r="L9">
        <f t="shared" si="3"/>
        <v>3.1321472849859049</v>
      </c>
      <c r="M9">
        <f t="shared" si="6"/>
        <v>0.52516068149357276</v>
      </c>
      <c r="O9">
        <f t="shared" si="4"/>
        <v>0.53213127119745596</v>
      </c>
      <c r="Q9">
        <f t="shared" si="7"/>
        <v>6.970589703883201E-3</v>
      </c>
      <c r="R9">
        <f t="shared" si="8"/>
        <v>4.8589120819882492E-5</v>
      </c>
      <c r="T9" t="s">
        <v>39</v>
      </c>
      <c r="U9">
        <f>3600/U6</f>
        <v>8.3720930232558138E-2</v>
      </c>
    </row>
    <row r="10" spans="1:29" x14ac:dyDescent="0.25">
      <c r="A10">
        <v>1</v>
      </c>
      <c r="B10" t="s">
        <v>31</v>
      </c>
      <c r="C10">
        <v>10</v>
      </c>
      <c r="D10">
        <v>109.83</v>
      </c>
      <c r="E10" s="2">
        <v>23</v>
      </c>
      <c r="F10" s="2">
        <v>23.5</v>
      </c>
      <c r="G10">
        <f t="shared" si="0"/>
        <v>9.1049804242920876E-2</v>
      </c>
      <c r="H10">
        <f t="shared" si="1"/>
        <v>0.54049999999999998</v>
      </c>
      <c r="I10">
        <f t="shared" si="2"/>
        <v>1741.8666666666666</v>
      </c>
      <c r="J10" s="3">
        <v>78.574083333333334</v>
      </c>
      <c r="K10">
        <f t="shared" si="5"/>
        <v>0.68788584870541492</v>
      </c>
      <c r="L10">
        <f t="shared" si="3"/>
        <v>3.7711416791942511</v>
      </c>
      <c r="M10">
        <f t="shared" si="6"/>
        <v>0.47650245442814115</v>
      </c>
      <c r="O10">
        <f t="shared" si="4"/>
        <v>0.44830857702793453</v>
      </c>
      <c r="Q10">
        <f t="shared" si="7"/>
        <v>-2.8193877400206624E-2</v>
      </c>
      <c r="R10">
        <f t="shared" si="8"/>
        <v>7.9489472285788182E-4</v>
      </c>
    </row>
    <row r="11" spans="1:29" x14ac:dyDescent="0.25">
      <c r="A11">
        <v>1</v>
      </c>
      <c r="B11" t="s">
        <v>37</v>
      </c>
      <c r="C11">
        <v>10</v>
      </c>
      <c r="D11">
        <v>121.65</v>
      </c>
      <c r="E11" s="2">
        <v>23.5</v>
      </c>
      <c r="F11" s="2">
        <v>18.899999999999999</v>
      </c>
      <c r="G11">
        <f t="shared" si="0"/>
        <v>8.2203041512535963E-2</v>
      </c>
      <c r="H11">
        <f t="shared" si="1"/>
        <v>0.44414999999999999</v>
      </c>
      <c r="I11">
        <f t="shared" si="2"/>
        <v>1779.7333333333333</v>
      </c>
      <c r="J11" s="3">
        <v>72.833999999999989</v>
      </c>
      <c r="K11">
        <f t="shared" si="5"/>
        <v>0.60981135184117319</v>
      </c>
      <c r="L11">
        <f t="shared" si="3"/>
        <v>3.2719898823481537</v>
      </c>
      <c r="M11">
        <f t="shared" si="6"/>
        <v>0.48528278221066212</v>
      </c>
      <c r="O11">
        <f t="shared" si="4"/>
        <v>0.48357277198357612</v>
      </c>
      <c r="Q11">
        <f t="shared" si="7"/>
        <v>-1.7100102270860007E-3</v>
      </c>
      <c r="R11">
        <f t="shared" si="8"/>
        <v>2.9241349767387156E-6</v>
      </c>
    </row>
    <row r="12" spans="1:29" x14ac:dyDescent="0.25">
      <c r="A12">
        <v>1</v>
      </c>
      <c r="B12" t="s">
        <v>34</v>
      </c>
      <c r="C12">
        <v>10</v>
      </c>
      <c r="D12">
        <v>99.4</v>
      </c>
      <c r="E12" s="2">
        <v>22.6</v>
      </c>
      <c r="F12" s="2">
        <v>33.200000000000003</v>
      </c>
      <c r="G12">
        <f t="shared" si="0"/>
        <v>0.10060362173038229</v>
      </c>
      <c r="H12">
        <f t="shared" si="1"/>
        <v>0.75032000000000021</v>
      </c>
      <c r="I12">
        <f t="shared" si="2"/>
        <v>1711.5733333333335</v>
      </c>
      <c r="J12" s="3">
        <v>84.858896666666681</v>
      </c>
      <c r="K12">
        <f t="shared" si="5"/>
        <v>0.88419721381403782</v>
      </c>
      <c r="L12">
        <f t="shared" si="3"/>
        <v>4.9331578556153808</v>
      </c>
      <c r="M12">
        <f t="shared" si="6"/>
        <v>0.40960662685999777</v>
      </c>
      <c r="O12">
        <f t="shared" si="4"/>
        <v>0.40909910912744935</v>
      </c>
      <c r="Q12">
        <f t="shared" si="7"/>
        <v>-5.0751773254842369E-4</v>
      </c>
      <c r="R12">
        <f t="shared" si="8"/>
        <v>2.5757424885109331E-7</v>
      </c>
      <c r="T12" t="s">
        <v>40</v>
      </c>
      <c r="U12" t="s">
        <v>41</v>
      </c>
      <c r="V12" t="s">
        <v>42</v>
      </c>
      <c r="W12" t="s">
        <v>43</v>
      </c>
      <c r="X12" t="s">
        <v>44</v>
      </c>
      <c r="Y12" t="s">
        <v>45</v>
      </c>
      <c r="Z12" t="s">
        <v>46</v>
      </c>
      <c r="AA12" t="s">
        <v>47</v>
      </c>
      <c r="AB12" t="s">
        <v>48</v>
      </c>
      <c r="AC12" t="s">
        <v>49</v>
      </c>
    </row>
    <row r="13" spans="1:29" x14ac:dyDescent="0.25">
      <c r="A13">
        <v>1</v>
      </c>
      <c r="B13" t="s">
        <v>38</v>
      </c>
      <c r="C13">
        <v>10</v>
      </c>
      <c r="D13">
        <v>86.32</v>
      </c>
      <c r="E13" s="2">
        <v>22</v>
      </c>
      <c r="F13" s="2">
        <v>37.200000000000003</v>
      </c>
      <c r="G13">
        <f t="shared" si="0"/>
        <v>0.11584800741427248</v>
      </c>
      <c r="H13">
        <f t="shared" si="1"/>
        <v>0.81840000000000013</v>
      </c>
      <c r="I13">
        <f t="shared" si="2"/>
        <v>1666.1333333333332</v>
      </c>
      <c r="J13" s="3">
        <v>86.136799999999994</v>
      </c>
      <c r="K13">
        <f t="shared" si="5"/>
        <v>0.95011655877627244</v>
      </c>
      <c r="L13">
        <f t="shared" si="3"/>
        <v>5.4455094493611789</v>
      </c>
      <c r="M13">
        <f t="shared" si="6"/>
        <v>0.43894911928335939</v>
      </c>
      <c r="O13">
        <f t="shared" si="4"/>
        <v>0.40318590465398746</v>
      </c>
      <c r="Q13">
        <f t="shared" si="7"/>
        <v>-3.5763214629371931E-2</v>
      </c>
      <c r="R13">
        <f t="shared" si="8"/>
        <v>1.2790075206265226E-3</v>
      </c>
      <c r="T13">
        <v>0.33985044315531293</v>
      </c>
      <c r="U13">
        <v>0.22289549666528741</v>
      </c>
      <c r="V13">
        <v>-7.541168582565827E-2</v>
      </c>
      <c r="W13">
        <v>0.63877149333131655</v>
      </c>
      <c r="X13">
        <v>3.5693303249863506</v>
      </c>
      <c r="Y13">
        <v>-7.3012983396512823E-3</v>
      </c>
      <c r="Z13">
        <v>3.0290031924454879E-2</v>
      </c>
      <c r="AA13">
        <v>-1.5542819434883576E-2</v>
      </c>
      <c r="AB13">
        <v>-5.0989991251620903E-2</v>
      </c>
      <c r="AC13">
        <v>4.8044746185407848E-2</v>
      </c>
    </row>
    <row r="14" spans="1:29" x14ac:dyDescent="0.25">
      <c r="A14">
        <v>1.5</v>
      </c>
      <c r="B14" t="s">
        <v>50</v>
      </c>
      <c r="C14">
        <v>10</v>
      </c>
      <c r="D14">
        <v>150.03</v>
      </c>
      <c r="E14" s="2">
        <v>27</v>
      </c>
      <c r="F14" s="2">
        <v>6.1</v>
      </c>
      <c r="G14">
        <f t="shared" si="0"/>
        <v>6.6653335999466767E-2</v>
      </c>
      <c r="H14">
        <f t="shared" si="1"/>
        <v>0.16469999999999999</v>
      </c>
      <c r="I14">
        <f t="shared" si="2"/>
        <v>2044.8</v>
      </c>
      <c r="J14" s="3">
        <v>12.486524999999997</v>
      </c>
      <c r="K14">
        <f t="shared" si="5"/>
        <v>1.3190219056142525</v>
      </c>
      <c r="L14">
        <f t="shared" si="3"/>
        <v>6.1598842818368462</v>
      </c>
      <c r="M14">
        <f t="shared" si="6"/>
        <v>0.1819166221400528</v>
      </c>
      <c r="O14">
        <f t="shared" si="4"/>
        <v>0.41794616752958053</v>
      </c>
      <c r="Q14">
        <f t="shared" si="7"/>
        <v>0.23602954538952772</v>
      </c>
      <c r="R14">
        <f t="shared" si="8"/>
        <v>5.5709946296787126E-2</v>
      </c>
    </row>
    <row r="15" spans="1:29" x14ac:dyDescent="0.25">
      <c r="A15">
        <v>1.5</v>
      </c>
      <c r="B15" t="s">
        <v>31</v>
      </c>
      <c r="C15">
        <v>10</v>
      </c>
      <c r="D15">
        <v>104.09</v>
      </c>
      <c r="E15" s="2">
        <v>25.2</v>
      </c>
      <c r="F15" s="2">
        <v>28.4</v>
      </c>
      <c r="G15">
        <f t="shared" si="0"/>
        <v>9.6070708041118266E-2</v>
      </c>
      <c r="H15">
        <f t="shared" si="1"/>
        <v>0.71567999999999998</v>
      </c>
      <c r="I15">
        <f t="shared" si="2"/>
        <v>1908.48</v>
      </c>
      <c r="J15" s="3">
        <v>81.659539999999993</v>
      </c>
      <c r="K15">
        <f t="shared" si="5"/>
        <v>0.87641933814469197</v>
      </c>
      <c r="L15">
        <f t="shared" si="3"/>
        <v>4.3852637665698886</v>
      </c>
      <c r="M15">
        <f t="shared" si="6"/>
        <v>0.39462222465352204</v>
      </c>
      <c r="O15">
        <f t="shared" si="4"/>
        <v>0.42071852739974125</v>
      </c>
      <c r="Q15">
        <f t="shared" si="7"/>
        <v>2.6096302746219213E-2</v>
      </c>
      <c r="R15">
        <f t="shared" si="8"/>
        <v>6.8101701702232844E-4</v>
      </c>
    </row>
    <row r="16" spans="1:29" x14ac:dyDescent="0.25">
      <c r="A16">
        <v>1.5</v>
      </c>
      <c r="B16" t="s">
        <v>37</v>
      </c>
      <c r="C16">
        <v>10</v>
      </c>
      <c r="D16">
        <v>116.08</v>
      </c>
      <c r="E16" s="2">
        <v>25.6</v>
      </c>
      <c r="F16" s="2">
        <v>22.5</v>
      </c>
      <c r="G16">
        <f t="shared" si="0"/>
        <v>8.6147484493452789E-2</v>
      </c>
      <c r="H16">
        <f t="shared" si="1"/>
        <v>0.57599999999999996</v>
      </c>
      <c r="I16">
        <f t="shared" si="2"/>
        <v>1938.7733333333335</v>
      </c>
      <c r="J16" s="3">
        <v>76.47153333333334</v>
      </c>
      <c r="K16">
        <f t="shared" si="5"/>
        <v>0.75322146018605607</v>
      </c>
      <c r="L16">
        <f t="shared" si="3"/>
        <v>3.7099412263546521</v>
      </c>
      <c r="M16">
        <f t="shared" si="6"/>
        <v>0.4117393895014933</v>
      </c>
      <c r="O16">
        <f t="shared" si="4"/>
        <v>0.44763092734476972</v>
      </c>
      <c r="Q16">
        <f t="shared" si="7"/>
        <v>3.5891537843276422E-2</v>
      </c>
      <c r="R16">
        <f t="shared" si="8"/>
        <v>1.2882024887553435E-3</v>
      </c>
    </row>
    <row r="17" spans="1:20" x14ac:dyDescent="0.25">
      <c r="A17">
        <v>1.5</v>
      </c>
      <c r="B17" t="s">
        <v>34</v>
      </c>
      <c r="C17">
        <v>10</v>
      </c>
      <c r="D17">
        <v>78.3</v>
      </c>
      <c r="E17" s="2">
        <v>24.3</v>
      </c>
      <c r="F17" s="2">
        <v>40.299999999999997</v>
      </c>
      <c r="G17">
        <f t="shared" si="0"/>
        <v>0.1277139208173691</v>
      </c>
      <c r="H17">
        <f t="shared" si="1"/>
        <v>0.97928999999999999</v>
      </c>
      <c r="I17">
        <f t="shared" si="2"/>
        <v>1840.32</v>
      </c>
      <c r="J17" s="3">
        <v>87.56801999999999</v>
      </c>
      <c r="K17">
        <f t="shared" si="5"/>
        <v>1.118319222017353</v>
      </c>
      <c r="L17">
        <f t="shared" si="3"/>
        <v>5.8028831552798801</v>
      </c>
      <c r="M17">
        <f t="shared" si="6"/>
        <v>0.41112600578673997</v>
      </c>
      <c r="O17">
        <f t="shared" si="4"/>
        <v>0.41629101540652969</v>
      </c>
      <c r="Q17">
        <f t="shared" si="7"/>
        <v>5.1650096197897177E-3</v>
      </c>
      <c r="R17">
        <f t="shared" si="8"/>
        <v>2.6677324372520325E-5</v>
      </c>
      <c r="T17" t="s">
        <v>51</v>
      </c>
    </row>
    <row r="18" spans="1:20" x14ac:dyDescent="0.25">
      <c r="A18">
        <v>1.5</v>
      </c>
      <c r="B18" t="s">
        <v>38</v>
      </c>
      <c r="C18">
        <v>10</v>
      </c>
      <c r="D18">
        <v>74.38</v>
      </c>
      <c r="E18" s="2">
        <v>23.8</v>
      </c>
      <c r="F18" s="2">
        <v>44.7</v>
      </c>
      <c r="G18">
        <f t="shared" si="0"/>
        <v>0.13444474321054048</v>
      </c>
      <c r="H18">
        <f t="shared" si="1"/>
        <v>1.06386</v>
      </c>
      <c r="I18">
        <f t="shared" si="2"/>
        <v>1802.4533333333331</v>
      </c>
      <c r="J18" s="3">
        <v>88.854883333333333</v>
      </c>
      <c r="K18">
        <f t="shared" si="5"/>
        <v>1.1973005422887093</v>
      </c>
      <c r="L18">
        <f t="shared" si="3"/>
        <v>6.3432310667190448</v>
      </c>
      <c r="M18">
        <f t="shared" si="6"/>
        <v>0.40424359503984664</v>
      </c>
      <c r="O18">
        <f t="shared" si="4"/>
        <v>0.42833620489919794</v>
      </c>
      <c r="Q18">
        <f t="shared" si="7"/>
        <v>2.4092609859351299E-2</v>
      </c>
      <c r="R18">
        <f t="shared" si="8"/>
        <v>5.8045384983491141E-4</v>
      </c>
      <c r="T18">
        <f>PEARSON(M6:M35,O6:O35)</f>
        <v>0.68300067328599146</v>
      </c>
    </row>
    <row r="19" spans="1:20" x14ac:dyDescent="0.25">
      <c r="A19">
        <v>2</v>
      </c>
      <c r="B19" t="s">
        <v>50</v>
      </c>
      <c r="C19">
        <v>10</v>
      </c>
      <c r="D19">
        <v>102.05</v>
      </c>
      <c r="E19" s="2">
        <v>28.8</v>
      </c>
      <c r="F19" s="2">
        <v>7</v>
      </c>
      <c r="G19">
        <f t="shared" si="0"/>
        <v>9.7991180793728566E-2</v>
      </c>
      <c r="H19">
        <f t="shared" si="1"/>
        <v>0.2016</v>
      </c>
      <c r="I19">
        <f t="shared" si="2"/>
        <v>2181.12</v>
      </c>
      <c r="J19" s="3">
        <v>20.501999999999999</v>
      </c>
      <c r="K19">
        <f t="shared" si="5"/>
        <v>0.98331870061457427</v>
      </c>
      <c r="L19">
        <f t="shared" si="3"/>
        <v>4.3051285166568292</v>
      </c>
      <c r="M19">
        <f t="shared" si="6"/>
        <v>0.35875271225589694</v>
      </c>
      <c r="O19">
        <f t="shared" si="4"/>
        <v>0.40567761731139312</v>
      </c>
      <c r="Q19">
        <f t="shared" si="7"/>
        <v>4.692490505549618E-2</v>
      </c>
      <c r="R19">
        <f t="shared" si="8"/>
        <v>2.201946714467331E-3</v>
      </c>
      <c r="T19" t="s">
        <v>52</v>
      </c>
    </row>
    <row r="20" spans="1:20" x14ac:dyDescent="0.25">
      <c r="A20">
        <v>2</v>
      </c>
      <c r="B20" t="s">
        <v>53</v>
      </c>
      <c r="C20">
        <v>10</v>
      </c>
      <c r="D20">
        <v>67.5</v>
      </c>
      <c r="E20" s="2">
        <v>27.6</v>
      </c>
      <c r="F20" s="2">
        <v>31.9</v>
      </c>
      <c r="G20">
        <f t="shared" si="0"/>
        <v>0.14814814814814814</v>
      </c>
      <c r="H20">
        <f t="shared" si="1"/>
        <v>0.88044</v>
      </c>
      <c r="I20">
        <f t="shared" si="2"/>
        <v>2090.2400000000002</v>
      </c>
      <c r="J20" s="3">
        <v>81.767499999999998</v>
      </c>
      <c r="K20">
        <f t="shared" si="5"/>
        <v>1.0767603265356041</v>
      </c>
      <c r="L20">
        <f t="shared" si="3"/>
        <v>4.9191976565385227</v>
      </c>
      <c r="M20">
        <f t="shared" si="6"/>
        <v>0.49531294958581312</v>
      </c>
      <c r="O20">
        <f t="shared" si="4"/>
        <v>0.40156100236319825</v>
      </c>
      <c r="Q20">
        <f t="shared" si="7"/>
        <v>-9.3751947222614873E-2</v>
      </c>
      <c r="R20">
        <f t="shared" si="8"/>
        <v>8.789427608031964E-3</v>
      </c>
      <c r="T20">
        <f>T18^2</f>
        <v>0.46648991970911763</v>
      </c>
    </row>
    <row r="21" spans="1:20" x14ac:dyDescent="0.25">
      <c r="A21">
        <v>2</v>
      </c>
      <c r="B21" t="s">
        <v>54</v>
      </c>
      <c r="C21">
        <v>10</v>
      </c>
      <c r="D21">
        <v>79.099999999999994</v>
      </c>
      <c r="E21" s="2">
        <v>28.4</v>
      </c>
      <c r="F21" s="2">
        <v>25.2</v>
      </c>
      <c r="G21">
        <f t="shared" si="0"/>
        <v>0.12642225031605564</v>
      </c>
      <c r="H21">
        <f t="shared" si="1"/>
        <v>0.71567999999999998</v>
      </c>
      <c r="I21">
        <f t="shared" si="2"/>
        <v>2150.8266666666664</v>
      </c>
      <c r="J21" s="3">
        <v>76.475120000000004</v>
      </c>
      <c r="K21">
        <f t="shared" si="5"/>
        <v>0.93583377182016836</v>
      </c>
      <c r="L21">
        <f t="shared" si="3"/>
        <v>4.1549392986188698</v>
      </c>
      <c r="M21">
        <f t="shared" si="6"/>
        <v>0.48632579293714256</v>
      </c>
      <c r="O21">
        <f t="shared" si="4"/>
        <v>0.41348606184340969</v>
      </c>
      <c r="Q21">
        <f t="shared" si="7"/>
        <v>-7.2839731093732873E-2</v>
      </c>
      <c r="R21">
        <f t="shared" si="8"/>
        <v>5.3056264258073155E-3</v>
      </c>
    </row>
    <row r="22" spans="1:20" x14ac:dyDescent="0.25">
      <c r="A22">
        <v>2</v>
      </c>
      <c r="B22" t="s">
        <v>37</v>
      </c>
      <c r="C22">
        <v>10</v>
      </c>
      <c r="D22">
        <v>82.3</v>
      </c>
      <c r="E22" s="2">
        <v>28.5</v>
      </c>
      <c r="F22" s="2">
        <v>25</v>
      </c>
      <c r="G22">
        <f t="shared" si="0"/>
        <v>0.12150668286755772</v>
      </c>
      <c r="H22">
        <f t="shared" si="1"/>
        <v>0.71250000000000002</v>
      </c>
      <c r="I22">
        <f t="shared" si="2"/>
        <v>2158.4</v>
      </c>
      <c r="J22" s="3">
        <v>76.220749999999995</v>
      </c>
      <c r="K22">
        <f t="shared" si="5"/>
        <v>0.93478481909453803</v>
      </c>
      <c r="L22">
        <f t="shared" si="3"/>
        <v>4.1357197373839574</v>
      </c>
      <c r="M22">
        <f t="shared" si="6"/>
        <v>0.46794090938159488</v>
      </c>
      <c r="O22">
        <f t="shared" si="4"/>
        <v>0.41354120329545563</v>
      </c>
      <c r="Q22">
        <f t="shared" si="7"/>
        <v>-5.4399706086139255E-2</v>
      </c>
      <c r="R22">
        <f t="shared" si="8"/>
        <v>2.9593280222583365E-3</v>
      </c>
    </row>
    <row r="23" spans="1:20" x14ac:dyDescent="0.25">
      <c r="A23">
        <v>2</v>
      </c>
      <c r="B23" t="s">
        <v>31</v>
      </c>
      <c r="C23">
        <v>10</v>
      </c>
      <c r="D23">
        <v>78.3</v>
      </c>
      <c r="E23" s="2">
        <v>27.7</v>
      </c>
      <c r="F23" s="2">
        <v>31.8</v>
      </c>
      <c r="G23">
        <f t="shared" si="0"/>
        <v>0.1277139208173691</v>
      </c>
      <c r="H23">
        <f t="shared" si="1"/>
        <v>0.88085999999999998</v>
      </c>
      <c r="I23">
        <f t="shared" si="2"/>
        <v>2097.8133333333335</v>
      </c>
      <c r="J23" s="3">
        <v>81.635658333333339</v>
      </c>
      <c r="K23">
        <f t="shared" si="5"/>
        <v>1.079013776557405</v>
      </c>
      <c r="L23">
        <f t="shared" si="3"/>
        <v>4.9116965787559224</v>
      </c>
      <c r="M23">
        <f t="shared" si="6"/>
        <v>0.42610217305049242</v>
      </c>
      <c r="O23">
        <f t="shared" si="4"/>
        <v>0.40100119359911157</v>
      </c>
      <c r="Q23">
        <f t="shared" si="7"/>
        <v>-2.5100979451380845E-2</v>
      </c>
      <c r="R23">
        <f t="shared" si="8"/>
        <v>6.3005916941864337E-4</v>
      </c>
    </row>
    <row r="24" spans="1:20" x14ac:dyDescent="0.25">
      <c r="A24">
        <v>2</v>
      </c>
      <c r="B24" t="s">
        <v>34</v>
      </c>
      <c r="C24">
        <v>10</v>
      </c>
      <c r="D24">
        <v>45.88</v>
      </c>
      <c r="E24" s="2">
        <v>28</v>
      </c>
      <c r="F24" s="2">
        <v>50.4</v>
      </c>
      <c r="G24">
        <f t="shared" si="0"/>
        <v>0.2179598953792502</v>
      </c>
      <c r="H24">
        <f t="shared" si="1"/>
        <v>1.4112</v>
      </c>
      <c r="I24">
        <f t="shared" si="2"/>
        <v>2120.5333333333333</v>
      </c>
      <c r="J24" s="3">
        <v>87.363533333333336</v>
      </c>
      <c r="K24">
        <f t="shared" si="5"/>
        <v>1.6153192827213185</v>
      </c>
      <c r="L24">
        <f t="shared" si="3"/>
        <v>7.2741902560700904</v>
      </c>
      <c r="M24">
        <f t="shared" si="6"/>
        <v>0.48575884146160636</v>
      </c>
      <c r="O24">
        <f t="shared" si="4"/>
        <v>0.45561290537868465</v>
      </c>
      <c r="Q24">
        <f t="shared" si="7"/>
        <v>-3.0145936082921709E-2</v>
      </c>
      <c r="R24">
        <f t="shared" si="8"/>
        <v>9.087774623156011E-4</v>
      </c>
    </row>
    <row r="25" spans="1:20" x14ac:dyDescent="0.25">
      <c r="A25">
        <v>2</v>
      </c>
      <c r="B25" t="s">
        <v>38</v>
      </c>
      <c r="C25">
        <v>10</v>
      </c>
      <c r="D25">
        <v>38.049999999999997</v>
      </c>
      <c r="E25" s="2">
        <v>26.6</v>
      </c>
      <c r="F25" s="2">
        <v>55.3</v>
      </c>
      <c r="G25">
        <f t="shared" si="0"/>
        <v>0.26281208935611039</v>
      </c>
      <c r="H25">
        <f t="shared" si="1"/>
        <v>1.47098</v>
      </c>
      <c r="I25">
        <f t="shared" si="2"/>
        <v>2014.5066666666669</v>
      </c>
      <c r="J25" s="3">
        <v>88.879084999999989</v>
      </c>
      <c r="K25">
        <f t="shared" si="5"/>
        <v>1.6550350400209455</v>
      </c>
      <c r="L25">
        <f t="shared" si="3"/>
        <v>7.8453056115860837</v>
      </c>
      <c r="M25">
        <f t="shared" si="6"/>
        <v>0.57166374052722391</v>
      </c>
      <c r="O25">
        <f t="shared" si="4"/>
        <v>0.50969901130757589</v>
      </c>
      <c r="Q25">
        <f t="shared" si="7"/>
        <v>-6.1964729219648018E-2</v>
      </c>
      <c r="R25">
        <f t="shared" si="8"/>
        <v>3.8396276672643011E-3</v>
      </c>
    </row>
    <row r="26" spans="1:20" x14ac:dyDescent="0.25">
      <c r="A26">
        <v>2.5</v>
      </c>
      <c r="B26" t="s">
        <v>50</v>
      </c>
      <c r="C26">
        <v>10</v>
      </c>
      <c r="D26">
        <v>106.09</v>
      </c>
      <c r="E26" s="2">
        <v>32</v>
      </c>
      <c r="F26" s="2">
        <v>8.3000000000000007</v>
      </c>
      <c r="G26">
        <f t="shared" si="0"/>
        <v>9.4259590913375435E-2</v>
      </c>
      <c r="H26">
        <f t="shared" si="1"/>
        <v>0.2656</v>
      </c>
      <c r="I26">
        <f t="shared" si="2"/>
        <v>2423.4666666666667</v>
      </c>
      <c r="J26" s="3">
        <v>29.406800000000008</v>
      </c>
      <c r="K26">
        <f t="shared" si="5"/>
        <v>0.90319245888706001</v>
      </c>
      <c r="L26">
        <f t="shared" si="3"/>
        <v>3.5588905687631804</v>
      </c>
      <c r="M26">
        <f t="shared" si="6"/>
        <v>0.37570566931691329</v>
      </c>
      <c r="O26">
        <f t="shared" si="4"/>
        <v>0.41483656987589318</v>
      </c>
      <c r="Q26">
        <f t="shared" si="7"/>
        <v>3.9130900558979886E-2</v>
      </c>
      <c r="R26">
        <f t="shared" si="8"/>
        <v>1.5312273785567723E-3</v>
      </c>
    </row>
    <row r="27" spans="1:20" x14ac:dyDescent="0.25">
      <c r="A27">
        <v>2.5</v>
      </c>
      <c r="B27" t="s">
        <v>31</v>
      </c>
      <c r="C27">
        <v>10</v>
      </c>
      <c r="D27">
        <v>71.53</v>
      </c>
      <c r="E27" s="2">
        <v>30.6</v>
      </c>
      <c r="F27" s="2">
        <v>33.200000000000003</v>
      </c>
      <c r="G27">
        <f t="shared" si="0"/>
        <v>0.1398014818957081</v>
      </c>
      <c r="H27">
        <f t="shared" si="1"/>
        <v>1.0159200000000002</v>
      </c>
      <c r="I27">
        <f t="shared" si="2"/>
        <v>2317.44</v>
      </c>
      <c r="J27" s="3">
        <v>80.096090000000004</v>
      </c>
      <c r="K27">
        <f t="shared" si="5"/>
        <v>1.2683765212509126</v>
      </c>
      <c r="L27">
        <f t="shared" si="3"/>
        <v>5.2265014772883491</v>
      </c>
      <c r="M27">
        <f t="shared" si="6"/>
        <v>0.39679489993097117</v>
      </c>
      <c r="O27">
        <f t="shared" si="4"/>
        <v>0.37331283903532486</v>
      </c>
      <c r="Q27">
        <f t="shared" si="7"/>
        <v>-2.3482060895646306E-2</v>
      </c>
      <c r="R27">
        <f t="shared" si="8"/>
        <v>5.5140718390684143E-4</v>
      </c>
    </row>
    <row r="28" spans="1:20" x14ac:dyDescent="0.25">
      <c r="A28">
        <v>2.5</v>
      </c>
      <c r="B28" t="s">
        <v>37</v>
      </c>
      <c r="C28">
        <v>10</v>
      </c>
      <c r="D28">
        <v>84.04</v>
      </c>
      <c r="E28" s="2">
        <v>31.3</v>
      </c>
      <c r="F28" s="2">
        <v>24.4</v>
      </c>
      <c r="G28">
        <f t="shared" si="0"/>
        <v>0.11899095668729176</v>
      </c>
      <c r="H28">
        <f t="shared" si="1"/>
        <v>0.76372000000000007</v>
      </c>
      <c r="I28">
        <f t="shared" si="2"/>
        <v>2370.4533333333334</v>
      </c>
      <c r="J28" s="3">
        <v>73.269643333333335</v>
      </c>
      <c r="K28">
        <f t="shared" si="5"/>
        <v>1.0423416373484009</v>
      </c>
      <c r="L28">
        <f t="shared" si="3"/>
        <v>4.1990404529386209</v>
      </c>
      <c r="M28">
        <f t="shared" si="6"/>
        <v>0.41096645161750289</v>
      </c>
      <c r="O28">
        <f t="shared" si="4"/>
        <v>0.38867288888636969</v>
      </c>
      <c r="Q28">
        <f t="shared" si="7"/>
        <v>-2.2293562731133199E-2</v>
      </c>
      <c r="R28">
        <f t="shared" si="8"/>
        <v>4.9700293924697108E-4</v>
      </c>
    </row>
    <row r="29" spans="1:20" x14ac:dyDescent="0.25">
      <c r="A29">
        <v>2.5</v>
      </c>
      <c r="B29" t="s">
        <v>34</v>
      </c>
      <c r="C29">
        <v>10</v>
      </c>
      <c r="D29">
        <v>50.24</v>
      </c>
      <c r="E29" s="2">
        <v>29.5</v>
      </c>
      <c r="F29" s="2">
        <v>50.8</v>
      </c>
      <c r="G29">
        <f t="shared" si="0"/>
        <v>0.19904458598726113</v>
      </c>
      <c r="H29">
        <f t="shared" si="1"/>
        <v>1.4985999999999999</v>
      </c>
      <c r="I29">
        <f t="shared" si="2"/>
        <v>2234.1333333333332</v>
      </c>
      <c r="J29" s="3">
        <v>86.529166666666669</v>
      </c>
      <c r="K29">
        <f t="shared" si="5"/>
        <v>1.7319015746135695</v>
      </c>
      <c r="L29">
        <f t="shared" si="3"/>
        <v>7.4026207595353286</v>
      </c>
      <c r="M29">
        <f t="shared" si="6"/>
        <v>0.4137420509673147</v>
      </c>
      <c r="O29">
        <f t="shared" si="4"/>
        <v>0.43779963539390665</v>
      </c>
      <c r="Q29">
        <f t="shared" si="7"/>
        <v>2.4057584426591949E-2</v>
      </c>
      <c r="R29">
        <f t="shared" si="8"/>
        <v>5.7876736844259945E-4</v>
      </c>
    </row>
    <row r="30" spans="1:20" x14ac:dyDescent="0.25">
      <c r="A30">
        <v>2.5</v>
      </c>
      <c r="B30" t="s">
        <v>38</v>
      </c>
      <c r="C30">
        <v>10</v>
      </c>
      <c r="D30">
        <v>38.159999999999997</v>
      </c>
      <c r="E30" s="2">
        <v>27.9</v>
      </c>
      <c r="F30" s="2">
        <v>57.2</v>
      </c>
      <c r="G30">
        <f t="shared" si="0"/>
        <v>0.26205450733752622</v>
      </c>
      <c r="H30">
        <f t="shared" si="1"/>
        <v>1.5958800000000002</v>
      </c>
      <c r="I30">
        <f t="shared" si="2"/>
        <v>2112.96</v>
      </c>
      <c r="J30" s="3">
        <v>88.414860000000004</v>
      </c>
      <c r="K30">
        <f t="shared" si="5"/>
        <v>1.8049906995272063</v>
      </c>
      <c r="L30">
        <f t="shared" si="3"/>
        <v>8.1574622917041371</v>
      </c>
      <c r="M30">
        <f t="shared" si="6"/>
        <v>0.52265988221557302</v>
      </c>
      <c r="O30">
        <f t="shared" si="4"/>
        <v>0.51805903842601253</v>
      </c>
      <c r="Q30">
        <f t="shared" si="7"/>
        <v>-4.6008437895604937E-3</v>
      </c>
      <c r="R30">
        <f t="shared" si="8"/>
        <v>2.1167763575937365E-5</v>
      </c>
    </row>
    <row r="31" spans="1:20" x14ac:dyDescent="0.25">
      <c r="A31">
        <v>3</v>
      </c>
      <c r="B31" t="s">
        <v>50</v>
      </c>
      <c r="C31">
        <v>10</v>
      </c>
      <c r="D31">
        <v>104.48</v>
      </c>
      <c r="E31" s="2">
        <v>33.4</v>
      </c>
      <c r="F31" s="2">
        <v>9.3000000000000007</v>
      </c>
      <c r="G31">
        <f t="shared" si="0"/>
        <v>9.5712098009188354E-2</v>
      </c>
      <c r="H31">
        <f t="shared" si="1"/>
        <v>0.31062000000000001</v>
      </c>
      <c r="I31">
        <f t="shared" si="2"/>
        <v>2529.4933333333333</v>
      </c>
      <c r="J31" s="3">
        <v>35.730761666666673</v>
      </c>
      <c r="K31">
        <f t="shared" si="5"/>
        <v>0.86933495260409821</v>
      </c>
      <c r="L31">
        <f t="shared" si="3"/>
        <v>3.2818972816308589</v>
      </c>
      <c r="M31">
        <f t="shared" si="6"/>
        <v>0.39635304182920039</v>
      </c>
      <c r="O31">
        <f t="shared" si="4"/>
        <v>0.42115854432737149</v>
      </c>
      <c r="Q31">
        <f t="shared" si="7"/>
        <v>2.4805502498171095E-2</v>
      </c>
      <c r="R31">
        <f t="shared" si="8"/>
        <v>6.1531295418677248E-4</v>
      </c>
    </row>
    <row r="32" spans="1:20" x14ac:dyDescent="0.25">
      <c r="A32">
        <v>3</v>
      </c>
      <c r="B32" t="s">
        <v>31</v>
      </c>
      <c r="C32">
        <v>10</v>
      </c>
      <c r="D32">
        <v>70.319999999999993</v>
      </c>
      <c r="E32" s="2">
        <v>31.9</v>
      </c>
      <c r="F32" s="2">
        <v>33.4</v>
      </c>
      <c r="G32">
        <f t="shared" si="0"/>
        <v>0.14220705346985213</v>
      </c>
      <c r="H32">
        <f t="shared" si="1"/>
        <v>1.0654599999999999</v>
      </c>
      <c r="I32">
        <f t="shared" si="2"/>
        <v>2415.8933333333334</v>
      </c>
      <c r="J32" s="3">
        <v>79.198736666666676</v>
      </c>
      <c r="K32">
        <f t="shared" si="5"/>
        <v>1.3452992368859751</v>
      </c>
      <c r="L32">
        <f t="shared" si="3"/>
        <v>5.3175615131833043</v>
      </c>
      <c r="M32">
        <f t="shared" si="6"/>
        <v>0.38054388083686924</v>
      </c>
      <c r="O32">
        <f t="shared" si="4"/>
        <v>0.35713788050363271</v>
      </c>
      <c r="Q32">
        <f t="shared" si="7"/>
        <v>-2.3406000333236532E-2</v>
      </c>
      <c r="R32">
        <f t="shared" si="8"/>
        <v>5.4784085159946864E-4</v>
      </c>
    </row>
    <row r="33" spans="1:18" x14ac:dyDescent="0.25">
      <c r="A33">
        <v>3</v>
      </c>
      <c r="B33" t="s">
        <v>37</v>
      </c>
      <c r="C33">
        <v>10</v>
      </c>
      <c r="D33">
        <v>87.63</v>
      </c>
      <c r="E33" s="2">
        <v>32.799999999999997</v>
      </c>
      <c r="F33" s="2">
        <v>23.8</v>
      </c>
      <c r="G33">
        <f t="shared" si="0"/>
        <v>0.11411617026132603</v>
      </c>
      <c r="H33">
        <f t="shared" si="1"/>
        <v>0.78064</v>
      </c>
      <c r="I33">
        <f t="shared" si="2"/>
        <v>2484.0533333333328</v>
      </c>
      <c r="J33" s="3">
        <v>71.426293333333334</v>
      </c>
      <c r="K33">
        <f t="shared" si="5"/>
        <v>1.0929308572081391</v>
      </c>
      <c r="L33">
        <f t="shared" si="3"/>
        <v>4.201488254253908</v>
      </c>
      <c r="M33">
        <f t="shared" si="6"/>
        <v>0.37588673632126851</v>
      </c>
      <c r="O33">
        <f t="shared" si="4"/>
        <v>0.37378535600572899</v>
      </c>
      <c r="Q33">
        <f t="shared" si="7"/>
        <v>-2.101380315539525E-3</v>
      </c>
      <c r="R33">
        <f t="shared" si="8"/>
        <v>4.4157992305369936E-6</v>
      </c>
    </row>
    <row r="34" spans="1:18" x14ac:dyDescent="0.25">
      <c r="A34">
        <v>3</v>
      </c>
      <c r="B34" t="s">
        <v>34</v>
      </c>
      <c r="C34">
        <v>10</v>
      </c>
      <c r="D34">
        <v>48.2</v>
      </c>
      <c r="E34" s="2">
        <v>30.6</v>
      </c>
      <c r="F34" s="2">
        <v>51.2</v>
      </c>
      <c r="G34">
        <f t="shared" si="0"/>
        <v>0.20746887966804978</v>
      </c>
      <c r="H34">
        <f t="shared" si="1"/>
        <v>1.5667200000000003</v>
      </c>
      <c r="I34">
        <f t="shared" si="2"/>
        <v>2317.44</v>
      </c>
      <c r="J34" s="3">
        <v>85.945149999999998</v>
      </c>
      <c r="K34">
        <f t="shared" si="5"/>
        <v>1.822930089714196</v>
      </c>
      <c r="L34">
        <f t="shared" si="3"/>
        <v>7.511607671110359</v>
      </c>
      <c r="M34">
        <f t="shared" si="6"/>
        <v>0.40971838197156446</v>
      </c>
      <c r="O34">
        <f t="shared" si="4"/>
        <v>0.41945995039458894</v>
      </c>
      <c r="Q34">
        <f t="shared" si="7"/>
        <v>9.7415684230244826E-3</v>
      </c>
      <c r="R34">
        <f t="shared" si="8"/>
        <v>9.4898155340467701E-5</v>
      </c>
    </row>
    <row r="35" spans="1:18" x14ac:dyDescent="0.25">
      <c r="A35">
        <v>3</v>
      </c>
      <c r="B35" t="s">
        <v>38</v>
      </c>
      <c r="C35">
        <v>10</v>
      </c>
      <c r="D35">
        <v>36.11</v>
      </c>
      <c r="E35" s="2">
        <v>28.8</v>
      </c>
      <c r="F35" s="2">
        <v>58.4</v>
      </c>
      <c r="G35">
        <f t="shared" si="0"/>
        <v>0.27693159789531985</v>
      </c>
      <c r="H35">
        <f t="shared" si="1"/>
        <v>1.6819200000000001</v>
      </c>
      <c r="I35">
        <f t="shared" si="2"/>
        <v>2181.12</v>
      </c>
      <c r="J35" s="3">
        <v>88.093559999999997</v>
      </c>
      <c r="K35">
        <f t="shared" si="5"/>
        <v>1.9092428549828162</v>
      </c>
      <c r="L35">
        <f t="shared" si="3"/>
        <v>8.3589744149812368</v>
      </c>
      <c r="M35">
        <f t="shared" si="6"/>
        <v>0.52217231025443556</v>
      </c>
      <c r="O35">
        <f t="shared" si="4"/>
        <v>0.51639163566142121</v>
      </c>
      <c r="Q35">
        <f t="shared" si="7"/>
        <v>-5.7806745930143455E-3</v>
      </c>
      <c r="R35">
        <f t="shared" si="8"/>
        <v>3.3416198750321566E-5</v>
      </c>
    </row>
    <row r="37" spans="1:18" x14ac:dyDescent="0.25">
      <c r="Q37" t="s">
        <v>55</v>
      </c>
      <c r="R37">
        <f>SUM(R6:R35)</f>
        <v>8.9929523846828868E-2</v>
      </c>
    </row>
  </sheetData>
  <mergeCells count="1">
    <mergeCell ref="A3:G3"/>
  </mergeCells>
  <conditionalFormatting sqref="F6:F35">
    <cfRule type="cellIs" dxfId="9" priority="16" operator="lessThan">
      <formula>4.5</formula>
    </cfRule>
    <cfRule type="top10" dxfId="8" priority="17" bottom="1" rank="1"/>
  </conditionalFormatting>
  <conditionalFormatting sqref="I6:I35">
    <cfRule type="colorScale" priority="20">
      <colorScale>
        <cfvo type="min"/>
        <cfvo type="max"/>
        <color rgb="FFFCFCFF"/>
        <color rgb="FF63BE7B"/>
      </colorScale>
    </cfRule>
  </conditionalFormatting>
  <conditionalFormatting sqref="J6:J35">
    <cfRule type="top10" dxfId="7" priority="28" percent="1" bottom="1" rank="5"/>
  </conditionalFormatting>
  <conditionalFormatting sqref="K6:K35">
    <cfRule type="cellIs" dxfId="6" priority="1" operator="greaterThan">
      <formula>2</formula>
    </cfRule>
    <cfRule type="colorScale" priority="22">
      <colorScale>
        <cfvo type="min"/>
        <cfvo type="max"/>
        <color rgb="FFFCFCFF"/>
        <color rgb="FF63BE7B"/>
      </colorScale>
    </cfRule>
  </conditionalFormatting>
  <conditionalFormatting sqref="K5:M5 T6">
    <cfRule type="colorScale" priority="9">
      <colorScale>
        <cfvo type="min"/>
        <cfvo type="max"/>
        <color rgb="FFFCFCFF"/>
        <color rgb="FF63BE7B"/>
      </colorScale>
    </cfRule>
  </conditionalFormatting>
  <conditionalFormatting sqref="L6:L35">
    <cfRule type="colorScale" priority="24">
      <colorScale>
        <cfvo type="min"/>
        <cfvo type="max"/>
        <color rgb="FFFCFCFF"/>
        <color rgb="FF63BE7B"/>
      </colorScale>
    </cfRule>
  </conditionalFormatting>
  <conditionalFormatting sqref="M6:M35">
    <cfRule type="colorScale" priority="2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2747-F0BB-47D5-A7AA-B8D0B0F74C8E}">
  <dimension ref="A1:G27"/>
  <sheetViews>
    <sheetView showGridLines="0" workbookViewId="0"/>
  </sheetViews>
  <sheetFormatPr defaultRowHeight="15" x14ac:dyDescent="0.25"/>
  <cols>
    <col min="1" max="1" width="2.28515625" customWidth="1"/>
    <col min="2" max="2" width="4.28515625" bestFit="1" customWidth="1"/>
    <col min="3" max="3" width="6" bestFit="1" customWidth="1"/>
    <col min="4" max="4" width="12.5703125" bestFit="1" customWidth="1"/>
    <col min="5" max="5" width="10.140625" bestFit="1" customWidth="1"/>
    <col min="6" max="6" width="6.7109375" bestFit="1" customWidth="1"/>
  </cols>
  <sheetData>
    <row r="1" spans="1:5" x14ac:dyDescent="0.25">
      <c r="A1" s="2" t="s">
        <v>56</v>
      </c>
    </row>
    <row r="2" spans="1:5" x14ac:dyDescent="0.25">
      <c r="A2" s="2" t="s">
        <v>57</v>
      </c>
    </row>
    <row r="3" spans="1:5" x14ac:dyDescent="0.25">
      <c r="A3" s="2" t="s">
        <v>58</v>
      </c>
    </row>
    <row r="4" spans="1:5" x14ac:dyDescent="0.25">
      <c r="A4" s="2" t="s">
        <v>59</v>
      </c>
    </row>
    <row r="5" spans="1:5" x14ac:dyDescent="0.25">
      <c r="A5" s="2" t="s">
        <v>60</v>
      </c>
    </row>
    <row r="6" spans="1:5" x14ac:dyDescent="0.25">
      <c r="A6" s="2"/>
      <c r="B6" t="s">
        <v>61</v>
      </c>
    </row>
    <row r="7" spans="1:5" x14ac:dyDescent="0.25">
      <c r="A7" s="2"/>
      <c r="B7" t="s">
        <v>62</v>
      </c>
    </row>
    <row r="8" spans="1:5" x14ac:dyDescent="0.25">
      <c r="A8" s="2"/>
      <c r="B8" t="s">
        <v>63</v>
      </c>
    </row>
    <row r="9" spans="1:5" x14ac:dyDescent="0.25">
      <c r="A9" s="2" t="s">
        <v>64</v>
      </c>
    </row>
    <row r="10" spans="1:5" x14ac:dyDescent="0.25">
      <c r="B10" t="s">
        <v>65</v>
      </c>
    </row>
    <row r="11" spans="1:5" x14ac:dyDescent="0.25">
      <c r="B11" t="s">
        <v>66</v>
      </c>
    </row>
    <row r="12" spans="1:5" x14ac:dyDescent="0.25">
      <c r="B12" t="s">
        <v>67</v>
      </c>
    </row>
    <row r="14" spans="1:5" ht="15.75" thickBot="1" x14ac:dyDescent="0.3">
      <c r="A14" t="s">
        <v>68</v>
      </c>
    </row>
    <row r="15" spans="1:5" ht="15.75" thickBot="1" x14ac:dyDescent="0.3">
      <c r="B15" s="6" t="s">
        <v>69</v>
      </c>
      <c r="C15" s="6" t="s">
        <v>70</v>
      </c>
      <c r="D15" s="6" t="s">
        <v>71</v>
      </c>
      <c r="E15" s="6" t="s">
        <v>72</v>
      </c>
    </row>
    <row r="16" spans="1:5" ht="15.75" thickBot="1" x14ac:dyDescent="0.3">
      <c r="B16" s="5" t="s">
        <v>73</v>
      </c>
      <c r="C16" s="5" t="s">
        <v>17</v>
      </c>
      <c r="D16" s="8">
        <v>3.1416465463601835</v>
      </c>
      <c r="E16" s="8">
        <v>1921.3206167700996</v>
      </c>
    </row>
    <row r="19" spans="1:7" ht="15.75" thickBot="1" x14ac:dyDescent="0.3">
      <c r="A19" t="s">
        <v>74</v>
      </c>
    </row>
    <row r="20" spans="1:7" ht="15.75" thickBot="1" x14ac:dyDescent="0.3">
      <c r="B20" s="6" t="s">
        <v>69</v>
      </c>
      <c r="C20" s="6" t="s">
        <v>70</v>
      </c>
      <c r="D20" s="6" t="s">
        <v>71</v>
      </c>
      <c r="E20" s="6" t="s">
        <v>72</v>
      </c>
      <c r="F20" s="6" t="s">
        <v>75</v>
      </c>
    </row>
    <row r="21" spans="1:7" x14ac:dyDescent="0.25">
      <c r="B21" s="7" t="s">
        <v>76</v>
      </c>
      <c r="C21" s="7" t="s">
        <v>54</v>
      </c>
      <c r="D21" s="9">
        <v>7.9999999999999996E-6</v>
      </c>
      <c r="E21" s="9">
        <v>0</v>
      </c>
      <c r="F21" s="7" t="s">
        <v>77</v>
      </c>
    </row>
    <row r="22" spans="1:7" x14ac:dyDescent="0.25">
      <c r="B22" s="7" t="s">
        <v>78</v>
      </c>
      <c r="C22" s="7" t="s">
        <v>37</v>
      </c>
      <c r="D22" s="7">
        <v>-2.5999999999999999E-2</v>
      </c>
      <c r="E22" s="7">
        <v>0</v>
      </c>
      <c r="F22" s="7" t="s">
        <v>77</v>
      </c>
    </row>
    <row r="23" spans="1:7" ht="15.75" thickBot="1" x14ac:dyDescent="0.3">
      <c r="B23" s="5" t="s">
        <v>79</v>
      </c>
      <c r="C23" s="5" t="s">
        <v>50</v>
      </c>
      <c r="D23" s="5">
        <v>22.369</v>
      </c>
      <c r="E23" s="5">
        <v>22.368999998699231</v>
      </c>
      <c r="F23" s="5" t="s">
        <v>77</v>
      </c>
    </row>
    <row r="26" spans="1:7" ht="15.75" thickBot="1" x14ac:dyDescent="0.3">
      <c r="A26" t="s">
        <v>80</v>
      </c>
    </row>
    <row r="27" spans="1:7" ht="15.75" thickBot="1" x14ac:dyDescent="0.3">
      <c r="B27" s="10" t="s">
        <v>81</v>
      </c>
      <c r="C27" s="10"/>
      <c r="D27" s="10"/>
      <c r="E27" s="10"/>
      <c r="F27" s="10"/>
      <c r="G2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A0EC-D52A-436A-89C4-CF2B9BD183E4}">
  <dimension ref="A1:E14"/>
  <sheetViews>
    <sheetView showGridLines="0" workbookViewId="0"/>
  </sheetViews>
  <sheetFormatPr defaultRowHeight="15" x14ac:dyDescent="0.25"/>
  <cols>
    <col min="1" max="1" width="2.28515625" customWidth="1"/>
    <col min="2" max="2" width="6.28515625" bestFit="1" customWidth="1"/>
    <col min="3" max="3" width="6" bestFit="1" customWidth="1"/>
    <col min="4" max="4" width="7" bestFit="1" customWidth="1"/>
    <col min="5" max="5" width="12" bestFit="1" customWidth="1"/>
  </cols>
  <sheetData>
    <row r="1" spans="1:5" x14ac:dyDescent="0.25">
      <c r="A1" s="2" t="s">
        <v>82</v>
      </c>
    </row>
    <row r="2" spans="1:5" x14ac:dyDescent="0.25">
      <c r="A2" s="2" t="s">
        <v>57</v>
      </c>
    </row>
    <row r="3" spans="1:5" x14ac:dyDescent="0.25">
      <c r="A3" s="2" t="s">
        <v>83</v>
      </c>
    </row>
    <row r="6" spans="1:5" ht="15.75" thickBot="1" x14ac:dyDescent="0.3">
      <c r="A6" t="s">
        <v>74</v>
      </c>
    </row>
    <row r="7" spans="1:5" x14ac:dyDescent="0.25">
      <c r="B7" s="11"/>
      <c r="C7" s="11"/>
      <c r="D7" s="11" t="s">
        <v>84</v>
      </c>
      <c r="E7" s="11" t="s">
        <v>85</v>
      </c>
    </row>
    <row r="8" spans="1:5" ht="15.75" thickBot="1" x14ac:dyDescent="0.3">
      <c r="B8" s="12" t="s">
        <v>69</v>
      </c>
      <c r="C8" s="12" t="s">
        <v>70</v>
      </c>
      <c r="D8" s="12" t="s">
        <v>86</v>
      </c>
      <c r="E8" s="12" t="s">
        <v>87</v>
      </c>
    </row>
    <row r="9" spans="1:5" x14ac:dyDescent="0.25">
      <c r="B9" s="7" t="s">
        <v>76</v>
      </c>
      <c r="C9" s="7" t="s">
        <v>54</v>
      </c>
      <c r="D9" s="7">
        <v>0</v>
      </c>
      <c r="E9" s="7">
        <v>557420788.46400034</v>
      </c>
    </row>
    <row r="10" spans="1:5" x14ac:dyDescent="0.25">
      <c r="B10" s="7" t="s">
        <v>78</v>
      </c>
      <c r="C10" s="7" t="s">
        <v>37</v>
      </c>
      <c r="D10" s="7">
        <v>0</v>
      </c>
      <c r="E10" s="7">
        <v>302409.2927066845</v>
      </c>
    </row>
    <row r="11" spans="1:5" ht="15.75" thickBot="1" x14ac:dyDescent="0.3">
      <c r="B11" s="5" t="s">
        <v>79</v>
      </c>
      <c r="C11" s="5" t="s">
        <v>50</v>
      </c>
      <c r="D11" s="5">
        <v>22.368999998699231</v>
      </c>
      <c r="E11" s="5">
        <v>0</v>
      </c>
    </row>
    <row r="13" spans="1:5" x14ac:dyDescent="0.25">
      <c r="A13" t="s">
        <v>80</v>
      </c>
    </row>
    <row r="14" spans="1:5" x14ac:dyDescent="0.25">
      <c r="B14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3C32-20D4-4C23-B6CA-07F25E30BB25}">
  <dimension ref="A2:K36"/>
  <sheetViews>
    <sheetView tabSelected="1" zoomScaleNormal="100" workbookViewId="0">
      <selection activeCell="Z27" sqref="Z27"/>
    </sheetView>
  </sheetViews>
  <sheetFormatPr defaultRowHeight="15" x14ac:dyDescent="0.25"/>
  <cols>
    <col min="5" max="5" width="14.7109375" bestFit="1" customWidth="1"/>
    <col min="6" max="6" width="2.7109375" customWidth="1"/>
  </cols>
  <sheetData>
    <row r="2" spans="1:11" x14ac:dyDescent="0.25">
      <c r="B2" t="s">
        <v>29</v>
      </c>
      <c r="C2" t="s">
        <v>88</v>
      </c>
      <c r="D2" t="s">
        <v>89</v>
      </c>
      <c r="E2" t="s">
        <v>90</v>
      </c>
      <c r="H2" t="s">
        <v>17</v>
      </c>
    </row>
    <row r="3" spans="1:11" x14ac:dyDescent="0.25">
      <c r="A3" t="s">
        <v>91</v>
      </c>
      <c r="B3">
        <v>2.7483568881923253</v>
      </c>
      <c r="C3">
        <v>1173.8666666666666</v>
      </c>
      <c r="D3">
        <v>0.53137685134393853</v>
      </c>
      <c r="K3">
        <v>8</v>
      </c>
    </row>
    <row r="4" spans="1:11" x14ac:dyDescent="0.25">
      <c r="B4">
        <v>2.9331140943933947</v>
      </c>
      <c r="C4">
        <v>1158.72</v>
      </c>
      <c r="D4">
        <v>0.5338300864322546</v>
      </c>
    </row>
    <row r="5" spans="1:11" x14ac:dyDescent="0.25">
      <c r="B5">
        <v>3.1873139588009294</v>
      </c>
      <c r="C5">
        <v>1211.7333333333333</v>
      </c>
      <c r="D5">
        <v>0.50680779009231369</v>
      </c>
    </row>
    <row r="6" spans="1:11" x14ac:dyDescent="0.25">
      <c r="B6">
        <v>3.1321472849859049</v>
      </c>
      <c r="C6">
        <v>1098.1333333333332</v>
      </c>
      <c r="D6">
        <v>0.52516068149357276</v>
      </c>
    </row>
    <row r="7" spans="1:11" x14ac:dyDescent="0.25">
      <c r="C7">
        <f>-0.0138/(2*-6*10^-6)</f>
        <v>1150</v>
      </c>
      <c r="D7">
        <f>-6*10^-6*C7^2+0.0138*C7-7.3155</f>
        <v>0.61949999999999861</v>
      </c>
    </row>
    <row r="8" spans="1:11" x14ac:dyDescent="0.25">
      <c r="A8" t="s">
        <v>92</v>
      </c>
      <c r="B8">
        <v>3.7711416791942511</v>
      </c>
      <c r="C8">
        <v>1741.8666666666666</v>
      </c>
      <c r="D8">
        <v>0.47650245442814115</v>
      </c>
      <c r="E8" s="4">
        <f>$G$8*C8^2 + $G$9*C8 + $G$10</f>
        <v>1.3532625422222253</v>
      </c>
      <c r="F8" t="s">
        <v>54</v>
      </c>
      <c r="G8" s="4">
        <v>7.9999999999999996E-6</v>
      </c>
      <c r="H8" s="4">
        <f>(D8-E8)^2</f>
        <v>0.76870825154869027</v>
      </c>
      <c r="I8" s="4"/>
      <c r="J8" s="4"/>
    </row>
    <row r="9" spans="1:11" x14ac:dyDescent="0.25">
      <c r="B9">
        <v>3.2719898823481537</v>
      </c>
      <c r="C9">
        <v>1779.7333333333333</v>
      </c>
      <c r="D9">
        <v>0.48528278221066212</v>
      </c>
      <c r="E9" s="4">
        <f t="shared" ref="E9:E11" si="0">$G$8*C9^2 + $G$9*C9 + $G$10</f>
        <v>1.4355392355555558</v>
      </c>
      <c r="F9" t="s">
        <v>37</v>
      </c>
      <c r="G9">
        <v>-2.5999999999999999E-2</v>
      </c>
      <c r="H9" s="4">
        <f t="shared" ref="H9:H11" si="1">(D9-E9)^2</f>
        <v>0.90298732712361618</v>
      </c>
    </row>
    <row r="10" spans="1:11" x14ac:dyDescent="0.25">
      <c r="B10">
        <v>4.9331578556153808</v>
      </c>
      <c r="C10">
        <v>1711.5733333333335</v>
      </c>
      <c r="D10">
        <v>0.40960662685999777</v>
      </c>
      <c r="E10" s="4">
        <f t="shared" si="0"/>
        <v>1.3039595363555598</v>
      </c>
      <c r="F10" t="s">
        <v>50</v>
      </c>
      <c r="G10">
        <v>22.369</v>
      </c>
      <c r="H10" s="4">
        <f t="shared" si="1"/>
        <v>0.79986712672317695</v>
      </c>
    </row>
    <row r="11" spans="1:11" x14ac:dyDescent="0.25">
      <c r="B11">
        <v>5.4455094493611789</v>
      </c>
      <c r="C11">
        <v>1666.1333333333332</v>
      </c>
      <c r="D11">
        <v>0.43894911928335939</v>
      </c>
      <c r="E11" s="4">
        <f t="shared" si="0"/>
        <v>1.2575356088888867</v>
      </c>
      <c r="H11" s="4">
        <f t="shared" si="1"/>
        <v>0.67008384096469997</v>
      </c>
    </row>
    <row r="12" spans="1:11" x14ac:dyDescent="0.25">
      <c r="C12">
        <f>0.026/(2*(8*10^(-6)))</f>
        <v>1625</v>
      </c>
      <c r="D12">
        <f>(8*(10^(-6))*C12^2)-(0.026*C12)+22.369</f>
        <v>1.2439999999999998</v>
      </c>
      <c r="H12" s="4">
        <f>SUM(H8:H11)</f>
        <v>3.1416465463601835</v>
      </c>
    </row>
    <row r="13" spans="1:11" x14ac:dyDescent="0.25">
      <c r="A13" t="s">
        <v>93</v>
      </c>
      <c r="B13">
        <v>4.3852637665698886</v>
      </c>
      <c r="C13">
        <v>1908.48</v>
      </c>
      <c r="D13">
        <v>0.39462222465352204</v>
      </c>
    </row>
    <row r="14" spans="1:11" x14ac:dyDescent="0.25">
      <c r="B14">
        <v>3.7099412263546521</v>
      </c>
      <c r="C14">
        <v>1938.7733333333335</v>
      </c>
      <c r="D14">
        <v>0.4117393895014933</v>
      </c>
    </row>
    <row r="15" spans="1:11" x14ac:dyDescent="0.25">
      <c r="B15">
        <v>5.8028831552798801</v>
      </c>
      <c r="C15">
        <v>1840.32</v>
      </c>
      <c r="D15">
        <v>0.41112600578673997</v>
      </c>
      <c r="G15" s="13"/>
    </row>
    <row r="16" spans="1:11" x14ac:dyDescent="0.25">
      <c r="B16">
        <v>6.3432310667190448</v>
      </c>
      <c r="C16">
        <v>1802.4533333333331</v>
      </c>
      <c r="D16">
        <v>0.40424359503984664</v>
      </c>
    </row>
    <row r="18" spans="1:8" x14ac:dyDescent="0.25">
      <c r="A18" t="s">
        <v>94</v>
      </c>
      <c r="B18">
        <v>4.9191976565385227</v>
      </c>
      <c r="C18">
        <v>2090.2400000000002</v>
      </c>
      <c r="D18">
        <v>0.49531294958581312</v>
      </c>
    </row>
    <row r="19" spans="1:8" x14ac:dyDescent="0.25">
      <c r="B19">
        <v>4.1549392986188698</v>
      </c>
      <c r="C19">
        <v>2150.8266666666664</v>
      </c>
      <c r="D19">
        <v>0.48632579293714256</v>
      </c>
    </row>
    <row r="20" spans="1:8" x14ac:dyDescent="0.25">
      <c r="B20">
        <v>4.1357197373839574</v>
      </c>
      <c r="C20">
        <v>2158.4</v>
      </c>
      <c r="D20">
        <v>0.46794090938159488</v>
      </c>
    </row>
    <row r="21" spans="1:8" x14ac:dyDescent="0.25">
      <c r="B21">
        <v>4.9116965787559224</v>
      </c>
      <c r="C21">
        <v>2097.8133333333335</v>
      </c>
      <c r="D21">
        <v>0.42610217305049242</v>
      </c>
    </row>
    <row r="22" spans="1:8" x14ac:dyDescent="0.25">
      <c r="B22">
        <v>7.2741902560700904</v>
      </c>
      <c r="C22">
        <v>2120.5333333333333</v>
      </c>
      <c r="D22">
        <v>0.48575884146160636</v>
      </c>
    </row>
    <row r="23" spans="1:8" x14ac:dyDescent="0.25">
      <c r="B23">
        <v>7.8453056115860837</v>
      </c>
      <c r="C23">
        <v>2014.5066666666669</v>
      </c>
      <c r="D23">
        <v>0.57166374052722391</v>
      </c>
    </row>
    <row r="25" spans="1:8" x14ac:dyDescent="0.25">
      <c r="A25" t="s">
        <v>94</v>
      </c>
      <c r="B25">
        <v>3.5588905687631804</v>
      </c>
      <c r="C25">
        <v>2423.4666666666667</v>
      </c>
      <c r="D25">
        <v>0.37570566931691329</v>
      </c>
    </row>
    <row r="26" spans="1:8" x14ac:dyDescent="0.25">
      <c r="B26">
        <v>5.2265014772883491</v>
      </c>
      <c r="C26">
        <v>2317.44</v>
      </c>
      <c r="D26">
        <v>0.39679489993097117</v>
      </c>
    </row>
    <row r="27" spans="1:8" x14ac:dyDescent="0.25">
      <c r="B27">
        <v>4.1990404529386209</v>
      </c>
      <c r="C27">
        <v>2370.4533333333334</v>
      </c>
      <c r="D27">
        <v>0.41096645161750289</v>
      </c>
    </row>
    <row r="28" spans="1:8" x14ac:dyDescent="0.25">
      <c r="B28">
        <v>7.4026207595353286</v>
      </c>
      <c r="C28">
        <v>2234.1333333333332</v>
      </c>
      <c r="D28">
        <v>0.4137420509673147</v>
      </c>
    </row>
    <row r="29" spans="1:8" x14ac:dyDescent="0.25">
      <c r="B29">
        <v>8.1574622917041371</v>
      </c>
      <c r="C29">
        <v>2112.96</v>
      </c>
      <c r="D29">
        <v>0.52265988221557302</v>
      </c>
    </row>
    <row r="31" spans="1:8" x14ac:dyDescent="0.25">
      <c r="A31" t="s">
        <v>95</v>
      </c>
      <c r="B31">
        <v>3.2818972816308589</v>
      </c>
      <c r="C31">
        <v>2529.4933333333333</v>
      </c>
      <c r="D31">
        <v>0.39635304182920039</v>
      </c>
      <c r="E31">
        <f>$G$31*C31^2 + $G$32*C31 + $G$33</f>
        <v>-0.52100695324444324</v>
      </c>
      <c r="F31" t="s">
        <v>54</v>
      </c>
      <c r="G31" s="4">
        <v>1.9999999999999999E-6</v>
      </c>
      <c r="H31" s="4">
        <f>(D31-E31)^2</f>
        <v>0.84154936056151541</v>
      </c>
    </row>
    <row r="32" spans="1:8" x14ac:dyDescent="0.25">
      <c r="B32">
        <v>5.3175615131833043</v>
      </c>
      <c r="C32">
        <v>2415.8933333333334</v>
      </c>
      <c r="D32">
        <v>0.38054388083686924</v>
      </c>
      <c r="E32">
        <f t="shared" ref="E32:E35" si="2">$G$31*C32^2 + $G$32*C32 + $G$33</f>
        <v>-0.45179880391111205</v>
      </c>
      <c r="F32" t="s">
        <v>37</v>
      </c>
      <c r="G32">
        <v>-1.0500000000000001E-2</v>
      </c>
      <c r="H32" s="4">
        <f t="shared" ref="H32:H35" si="3">(D32-E32)^2</f>
        <v>0.69279434485347746</v>
      </c>
    </row>
    <row r="33" spans="2:8" x14ac:dyDescent="0.25">
      <c r="B33">
        <v>4.201488254253908</v>
      </c>
      <c r="C33">
        <v>2484.0533333333328</v>
      </c>
      <c r="D33">
        <v>0.37588673632126851</v>
      </c>
      <c r="E33">
        <f t="shared" si="2"/>
        <v>-0.49951807431111384</v>
      </c>
      <c r="F33" t="s">
        <v>50</v>
      </c>
      <c r="G33">
        <v>13.242000000000001</v>
      </c>
      <c r="H33" s="4">
        <f t="shared" si="3"/>
        <v>0.76633358247831729</v>
      </c>
    </row>
    <row r="34" spans="2:8" x14ac:dyDescent="0.25">
      <c r="B34">
        <v>7.511607671110359</v>
      </c>
      <c r="C34">
        <v>2317.44</v>
      </c>
      <c r="D34">
        <v>0.40971838197156446</v>
      </c>
      <c r="E34">
        <f t="shared" si="2"/>
        <v>-0.35006369280000094</v>
      </c>
      <c r="H34" s="4">
        <f t="shared" si="3"/>
        <v>0.57726880114418455</v>
      </c>
    </row>
    <row r="35" spans="2:8" x14ac:dyDescent="0.25">
      <c r="B35">
        <v>8.3589744149812368</v>
      </c>
      <c r="C35">
        <v>2181.12</v>
      </c>
      <c r="D35">
        <v>0.52217231025443556</v>
      </c>
      <c r="E35">
        <f t="shared" si="2"/>
        <v>-0.14519109120000095</v>
      </c>
      <c r="H35" s="4">
        <f t="shared" si="3"/>
        <v>0.44537390960083539</v>
      </c>
    </row>
    <row r="36" spans="2:8" x14ac:dyDescent="0.25">
      <c r="C36">
        <f>0.010541642/(2*0.0000021595)</f>
        <v>2440.759898124566</v>
      </c>
      <c r="D36">
        <f>0.000002159*C36^2 - 0.0105416402*C36 + 13.24176</f>
        <v>0.37397721193484301</v>
      </c>
      <c r="H36" s="4">
        <f>SUM(H31:H34)</f>
        <v>2.8779460890374948</v>
      </c>
    </row>
  </sheetData>
  <conditionalFormatting sqref="D3:D7">
    <cfRule type="top10" dxfId="5" priority="6" bottom="1" rank="1"/>
  </conditionalFormatting>
  <conditionalFormatting sqref="D8:D12">
    <cfRule type="top10" dxfId="4" priority="5" bottom="1" rank="1"/>
  </conditionalFormatting>
  <conditionalFormatting sqref="D13:D17">
    <cfRule type="top10" dxfId="3" priority="30" bottom="1" rank="1"/>
  </conditionalFormatting>
  <conditionalFormatting sqref="D18:D24">
    <cfRule type="top10" dxfId="2" priority="29" bottom="1" rank="1"/>
  </conditionalFormatting>
  <conditionalFormatting sqref="D25:D30">
    <cfRule type="top10" dxfId="1" priority="2" bottom="1" rank="1"/>
  </conditionalFormatting>
  <conditionalFormatting sqref="D31:D35">
    <cfRule type="top10" dxfId="0" priority="1" bottom="1" rank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excel solver</vt:lpstr>
      <vt:lpstr>Answer Report 1</vt:lpstr>
      <vt:lpstr>Sensitivity Report 1</vt:lpstr>
      <vt:lpstr>Engine Models Per Rack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Kaye Charlise Alberca</dc:creator>
  <cp:keywords/>
  <dc:description/>
  <cp:lastModifiedBy>Frank Borger</cp:lastModifiedBy>
  <cp:revision/>
  <dcterms:created xsi:type="dcterms:W3CDTF">2025-05-15T08:48:41Z</dcterms:created>
  <dcterms:modified xsi:type="dcterms:W3CDTF">2026-02-16T07:00:06Z</dcterms:modified>
  <cp:category/>
  <cp:contentStatus/>
</cp:coreProperties>
</file>