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n\Desktop\Data Analytics\Control Implementation of a series-parallel hybrid drivetrain\"/>
    </mc:Choice>
  </mc:AlternateContent>
  <xr:revisionPtr revIDLastSave="0" documentId="8_{105DB021-140C-40E1-AD24-34BEA0798762}" xr6:coauthVersionLast="47" xr6:coauthVersionMax="47" xr10:uidLastSave="{00000000-0000-0000-0000-000000000000}"/>
  <bookViews>
    <workbookView xWindow="90" yWindow="0" windowWidth="28800" windowHeight="15885" firstSheet="2" activeTab="4" xr2:uid="{0E13C545-DB5D-45D1-8CF3-614231E19FC0}"/>
  </bookViews>
  <sheets>
    <sheet name="raw data (30 Apr '25)" sheetId="1" r:id="rId1"/>
    <sheet name="agni eff" sheetId="3" r:id="rId2"/>
    <sheet name="engine data" sheetId="2" r:id="rId3"/>
    <sheet name="goering_matlab" sheetId="4" r:id="rId4"/>
    <sheet name="goering_excel" sheetId="5" r:id="rId5"/>
  </sheets>
  <definedNames>
    <definedName name="solver_adj" localSheetId="4" hidden="1">goering_excel!$B$34,goering_excel!$C$34,goering_excel!$D$34,goering_excel!$E$34,goering_excel!$F$34,goering_excel!$G$34,goering_excel!$H$34,goering_excel!$I$34,goering_excel!$J$34,goering_excel!$K$34</definedName>
    <definedName name="solver_cvg" localSheetId="4" hidden="1">0.0001</definedName>
    <definedName name="solver_drv" localSheetId="4" hidden="1">1</definedName>
    <definedName name="solver_eng" localSheetId="1" hidden="1">0</definedName>
    <definedName name="solver_eng" localSheetId="2" hidden="1">0</definedName>
    <definedName name="solver_eng" localSheetId="4" hidden="1">1</definedName>
    <definedName name="solver_eng" localSheetId="3" hidden="1">0</definedName>
    <definedName name="solver_est" localSheetId="4" hidden="1">1</definedName>
    <definedName name="solver_itr" localSheetId="4" hidden="1">2147483647</definedName>
    <definedName name="solver_lhs1" localSheetId="4" hidden="1">goering_excel!$B$34</definedName>
    <definedName name="solver_lhs2" localSheetId="4" hidden="1">goering_excel!$C$34</definedName>
    <definedName name="solver_lhs3" localSheetId="4" hidden="1">goering_excel!$D$34</definedName>
    <definedName name="solver_lhs4" localSheetId="4" hidden="1">goering_excel!$E$34</definedName>
    <definedName name="solver_lhs5" localSheetId="4" hidden="1">goering_excel!$E$34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2</definedName>
    <definedName name="solver_nod" localSheetId="4" hidden="1">2147483647</definedName>
    <definedName name="solver_num" localSheetId="4" hidden="1">5</definedName>
    <definedName name="solver_nwt" localSheetId="4" hidden="1">1</definedName>
    <definedName name="solver_opt" localSheetId="4" hidden="1">goering_excel!$H$27</definedName>
    <definedName name="solver_pre" localSheetId="4" hidden="1">0.000001</definedName>
    <definedName name="solver_rbv" localSheetId="4" hidden="1">1</definedName>
    <definedName name="solver_rel1" localSheetId="4" hidden="1">3</definedName>
    <definedName name="solver_rel2" localSheetId="4" hidden="1">1</definedName>
    <definedName name="solver_rel3" localSheetId="4" hidden="1">3</definedName>
    <definedName name="solver_rel4" localSheetId="4" hidden="1">1</definedName>
    <definedName name="solver_rel5" localSheetId="4" hidden="1">3</definedName>
    <definedName name="solver_rhs1" localSheetId="4" hidden="1">0.001</definedName>
    <definedName name="solver_rhs2" localSheetId="4" hidden="1">-0.001</definedName>
    <definedName name="solver_rhs3" localSheetId="4" hidden="1">0.001</definedName>
    <definedName name="solver_rhs4" localSheetId="4" hidden="1">0.99</definedName>
    <definedName name="solver_rhs5" localSheetId="4" hidden="1">0.01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E28" i="2"/>
  <c r="E27" i="2"/>
  <c r="E26" i="2"/>
  <c r="E25" i="2"/>
  <c r="E23" i="2"/>
  <c r="E22" i="2"/>
  <c r="K16" i="5"/>
  <c r="I16" i="4"/>
  <c r="I15" i="4"/>
  <c r="K3" i="5"/>
  <c r="F25" i="5"/>
  <c r="G25" i="5" s="1"/>
  <c r="H25" i="5" s="1"/>
  <c r="F22" i="5"/>
  <c r="G22" i="5" s="1"/>
  <c r="H22" i="5" s="1"/>
  <c r="F21" i="5"/>
  <c r="G21" i="5" s="1"/>
  <c r="H21" i="5" s="1"/>
  <c r="F20" i="5"/>
  <c r="G20" i="5" s="1"/>
  <c r="H20" i="5" s="1"/>
  <c r="F19" i="5"/>
  <c r="G19" i="5" s="1"/>
  <c r="H19" i="5" s="1"/>
  <c r="F18" i="5"/>
  <c r="G18" i="5" s="1"/>
  <c r="H18" i="5" s="1"/>
  <c r="F17" i="5"/>
  <c r="G17" i="5" s="1"/>
  <c r="H17" i="5" s="1"/>
  <c r="F16" i="5"/>
  <c r="G16" i="5" s="1"/>
  <c r="H16" i="5" s="1"/>
  <c r="F15" i="5"/>
  <c r="G15" i="5" s="1"/>
  <c r="H15" i="5" s="1"/>
  <c r="F14" i="5"/>
  <c r="G14" i="5" s="1"/>
  <c r="H14" i="5" s="1"/>
  <c r="F13" i="5"/>
  <c r="G13" i="5" s="1"/>
  <c r="H13" i="5" s="1"/>
  <c r="F12" i="5"/>
  <c r="G12" i="5" s="1"/>
  <c r="H12" i="5" s="1"/>
  <c r="F11" i="5"/>
  <c r="G11" i="5" s="1"/>
  <c r="H11" i="5" s="1"/>
  <c r="F10" i="5"/>
  <c r="G10" i="5" s="1"/>
  <c r="H10" i="5" s="1"/>
  <c r="F9" i="5"/>
  <c r="G9" i="5" s="1"/>
  <c r="H9" i="5" s="1"/>
  <c r="F8" i="5"/>
  <c r="G8" i="5" s="1"/>
  <c r="H8" i="5" s="1"/>
  <c r="F7" i="5"/>
  <c r="G7" i="5" s="1"/>
  <c r="H7" i="5" s="1"/>
  <c r="F6" i="5"/>
  <c r="G6" i="5" s="1"/>
  <c r="H6" i="5" s="1"/>
  <c r="F5" i="5"/>
  <c r="G5" i="5" s="1"/>
  <c r="H5" i="5" s="1"/>
  <c r="F4" i="5"/>
  <c r="G4" i="5" s="1"/>
  <c r="H4" i="5" s="1"/>
  <c r="F3" i="5"/>
  <c r="G3" i="5" s="1"/>
  <c r="H3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AB26" i="3"/>
  <c r="N7" i="2"/>
  <c r="N8" i="2"/>
  <c r="N9" i="2"/>
  <c r="N10" i="2"/>
  <c r="N11" i="2"/>
  <c r="N12" i="2"/>
  <c r="N13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6" i="2"/>
  <c r="I19" i="5" l="1"/>
  <c r="I18" i="5"/>
  <c r="I17" i="5"/>
  <c r="I16" i="5"/>
  <c r="I15" i="5"/>
  <c r="I14" i="5"/>
  <c r="I13" i="5"/>
  <c r="I12" i="5"/>
  <c r="I11" i="5"/>
  <c r="I3" i="5"/>
  <c r="I10" i="5"/>
  <c r="I25" i="5"/>
  <c r="I9" i="5"/>
  <c r="I8" i="5"/>
  <c r="I7" i="5"/>
  <c r="I22" i="5"/>
  <c r="I6" i="5"/>
  <c r="I21" i="5"/>
  <c r="I5" i="5"/>
  <c r="I20" i="5"/>
  <c r="I4" i="5"/>
  <c r="F23" i="5"/>
  <c r="G23" i="5" s="1"/>
  <c r="F24" i="5"/>
  <c r="G24" i="5" s="1"/>
  <c r="H24" i="5" l="1"/>
  <c r="I24" i="5"/>
  <c r="H23" i="5"/>
  <c r="I23" i="5"/>
  <c r="M20" i="2"/>
  <c r="M22" i="2"/>
  <c r="Z36" i="3"/>
  <c r="S36" i="3" s="1"/>
  <c r="O36" i="3"/>
  <c r="P36" i="3" s="1"/>
  <c r="B36" i="3"/>
  <c r="D36" i="3" s="1"/>
  <c r="Z35" i="3"/>
  <c r="O35" i="3"/>
  <c r="R35" i="3" s="1"/>
  <c r="B35" i="3"/>
  <c r="K35" i="3" s="1"/>
  <c r="Z34" i="3"/>
  <c r="O34" i="3"/>
  <c r="U34" i="3" s="1"/>
  <c r="B34" i="3"/>
  <c r="Z33" i="3"/>
  <c r="O33" i="3"/>
  <c r="B33" i="3"/>
  <c r="Z32" i="3"/>
  <c r="O32" i="3"/>
  <c r="R32" i="3" s="1"/>
  <c r="B32" i="3"/>
  <c r="Z31" i="3"/>
  <c r="O31" i="3"/>
  <c r="B31" i="3"/>
  <c r="K31" i="3" s="1"/>
  <c r="Z28" i="3"/>
  <c r="O28" i="3"/>
  <c r="B28" i="3"/>
  <c r="J28" i="3" s="1"/>
  <c r="Z22" i="3"/>
  <c r="Z26" i="3" s="1"/>
  <c r="O22" i="3"/>
  <c r="B22" i="3"/>
  <c r="B27" i="3" s="1"/>
  <c r="Z14" i="3"/>
  <c r="Z18" i="3" s="1"/>
  <c r="O14" i="3"/>
  <c r="O20" i="3" s="1"/>
  <c r="B14" i="3"/>
  <c r="Z9" i="3"/>
  <c r="Z7" i="3" s="1"/>
  <c r="O9" i="3"/>
  <c r="S9" i="3" s="1"/>
  <c r="S5" i="3" s="1"/>
  <c r="B9" i="3"/>
  <c r="B5" i="3" s="1"/>
  <c r="AG13" i="3"/>
  <c r="AF13" i="3"/>
  <c r="AE13" i="3"/>
  <c r="AG12" i="3"/>
  <c r="AF12" i="3"/>
  <c r="AE12" i="3"/>
  <c r="AG11" i="3"/>
  <c r="AF11" i="3"/>
  <c r="AE11" i="3"/>
  <c r="AG10" i="3"/>
  <c r="AF10" i="3"/>
  <c r="AE10" i="3"/>
  <c r="AG9" i="3"/>
  <c r="AF9" i="3"/>
  <c r="AE9" i="3"/>
  <c r="AG8" i="3"/>
  <c r="AF8" i="3"/>
  <c r="AE8" i="3"/>
  <c r="AG7" i="3"/>
  <c r="AF7" i="3"/>
  <c r="AE7" i="3"/>
  <c r="AG6" i="3"/>
  <c r="AF6" i="3"/>
  <c r="AE6" i="3"/>
  <c r="AG5" i="3"/>
  <c r="AF5" i="3"/>
  <c r="AE5" i="3"/>
  <c r="AG4" i="3"/>
  <c r="AF4" i="3"/>
  <c r="AE4" i="3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2" i="2"/>
  <c r="K23" i="2"/>
  <c r="K24" i="2"/>
  <c r="K25" i="2"/>
  <c r="K26" i="2"/>
  <c r="K27" i="2"/>
  <c r="K28" i="2"/>
  <c r="K6" i="2"/>
  <c r="J7" i="2"/>
  <c r="M7" i="2" s="1"/>
  <c r="J8" i="2"/>
  <c r="M8" i="2" s="1"/>
  <c r="J9" i="2"/>
  <c r="M9" i="2" s="1"/>
  <c r="J10" i="2"/>
  <c r="M10" i="2" s="1"/>
  <c r="J11" i="2"/>
  <c r="M11" i="2" s="1"/>
  <c r="J12" i="2"/>
  <c r="M12" i="2" s="1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J21" i="2"/>
  <c r="M21" i="2" s="1"/>
  <c r="J22" i="2"/>
  <c r="J23" i="2"/>
  <c r="M23" i="2" s="1"/>
  <c r="J24" i="2"/>
  <c r="M24" i="2" s="1"/>
  <c r="J25" i="2"/>
  <c r="M25" i="2" s="1"/>
  <c r="J26" i="2"/>
  <c r="M26" i="2" s="1"/>
  <c r="N26" i="2" s="1"/>
  <c r="J27" i="2"/>
  <c r="M27" i="2" s="1"/>
  <c r="J28" i="2"/>
  <c r="M28" i="2" s="1"/>
  <c r="J6" i="2"/>
  <c r="M6" i="2" s="1"/>
  <c r="I7" i="2"/>
  <c r="O7" i="2" s="1"/>
  <c r="D8" i="4" s="1"/>
  <c r="I8" i="2"/>
  <c r="O8" i="2" s="1"/>
  <c r="D9" i="4" s="1"/>
  <c r="I9" i="2"/>
  <c r="O9" i="2" s="1"/>
  <c r="D10" i="4" s="1"/>
  <c r="I10" i="2"/>
  <c r="O10" i="2" s="1"/>
  <c r="D11" i="4" s="1"/>
  <c r="I11" i="2"/>
  <c r="O11" i="2" s="1"/>
  <c r="D12" i="4" s="1"/>
  <c r="I12" i="2"/>
  <c r="O12" i="2" s="1"/>
  <c r="D13" i="4" s="1"/>
  <c r="I13" i="2"/>
  <c r="O13" i="2" s="1"/>
  <c r="D14" i="4" s="1"/>
  <c r="I14" i="2"/>
  <c r="O14" i="2" s="1"/>
  <c r="D15" i="4" s="1"/>
  <c r="I15" i="2"/>
  <c r="O15" i="2" s="1"/>
  <c r="D16" i="4" s="1"/>
  <c r="I17" i="2"/>
  <c r="O17" i="2" s="1"/>
  <c r="D18" i="4" s="1"/>
  <c r="I18" i="2"/>
  <c r="O18" i="2" s="1"/>
  <c r="D19" i="4" s="1"/>
  <c r="F28" i="2"/>
  <c r="F27" i="2"/>
  <c r="F22" i="2"/>
  <c r="F23" i="2"/>
  <c r="F21" i="2"/>
  <c r="I21" i="2" s="1"/>
  <c r="O21" i="2" s="1"/>
  <c r="D22" i="4" s="1"/>
  <c r="I23" i="2"/>
  <c r="O23" i="2" s="1"/>
  <c r="D24" i="4" s="1"/>
  <c r="I24" i="2"/>
  <c r="O24" i="2" s="1"/>
  <c r="D25" i="4" s="1"/>
  <c r="I25" i="2"/>
  <c r="O25" i="2" s="1"/>
  <c r="D26" i="4" s="1"/>
  <c r="I26" i="2"/>
  <c r="O26" i="2" s="1"/>
  <c r="D27" i="4" s="1"/>
  <c r="I27" i="2"/>
  <c r="O27" i="2" s="1"/>
  <c r="D28" i="4" s="1"/>
  <c r="I28" i="2"/>
  <c r="O28" i="2" s="1"/>
  <c r="D29" i="4" s="1"/>
  <c r="I22" i="2"/>
  <c r="O22" i="2" s="1"/>
  <c r="D23" i="4" s="1"/>
  <c r="F20" i="2"/>
  <c r="I20" i="2" s="1"/>
  <c r="O20" i="2" s="1"/>
  <c r="D21" i="4" s="1"/>
  <c r="F19" i="2"/>
  <c r="I19" i="2" s="1"/>
  <c r="O19" i="2" s="1"/>
  <c r="D20" i="4" s="1"/>
  <c r="F17" i="2"/>
  <c r="F16" i="2"/>
  <c r="I16" i="2" s="1"/>
  <c r="O16" i="2" s="1"/>
  <c r="D17" i="4" s="1"/>
  <c r="F15" i="2"/>
  <c r="I6" i="2"/>
  <c r="O6" i="2" s="1"/>
  <c r="D7" i="4" s="1"/>
  <c r="H27" i="5" l="1"/>
  <c r="I27" i="5" s="1"/>
  <c r="Y28" i="3"/>
  <c r="Z30" i="3"/>
  <c r="P31" i="3"/>
  <c r="D22" i="3"/>
  <c r="D25" i="3" s="1"/>
  <c r="D28" i="3"/>
  <c r="L36" i="3"/>
  <c r="K36" i="3"/>
  <c r="G34" i="3"/>
  <c r="C33" i="3"/>
  <c r="C14" i="3"/>
  <c r="E36" i="3"/>
  <c r="C36" i="3"/>
  <c r="S22" i="3"/>
  <c r="U22" i="3"/>
  <c r="T28" i="3"/>
  <c r="T27" i="3" s="1"/>
  <c r="W28" i="3"/>
  <c r="Q31" i="3"/>
  <c r="R31" i="3"/>
  <c r="W32" i="3"/>
  <c r="K14" i="3"/>
  <c r="V32" i="3"/>
  <c r="J32" i="3"/>
  <c r="C22" i="3"/>
  <c r="F28" i="3"/>
  <c r="J35" i="3"/>
  <c r="H28" i="3"/>
  <c r="I35" i="3"/>
  <c r="Q35" i="3"/>
  <c r="I28" i="3"/>
  <c r="I30" i="3" s="1"/>
  <c r="H35" i="3"/>
  <c r="S31" i="3"/>
  <c r="K28" i="3"/>
  <c r="N33" i="3"/>
  <c r="T31" i="3"/>
  <c r="C31" i="3"/>
  <c r="L28" i="3"/>
  <c r="L32" i="3"/>
  <c r="U31" i="3"/>
  <c r="M28" i="3"/>
  <c r="M29" i="3" s="1"/>
  <c r="K32" i="3"/>
  <c r="Q36" i="3"/>
  <c r="Z25" i="3"/>
  <c r="H9" i="3"/>
  <c r="H8" i="3" s="1"/>
  <c r="G31" i="3"/>
  <c r="O24" i="3"/>
  <c r="M32" i="3"/>
  <c r="G9" i="3"/>
  <c r="G6" i="3" s="1"/>
  <c r="I31" i="3"/>
  <c r="I32" i="3"/>
  <c r="Y35" i="3"/>
  <c r="B10" i="3"/>
  <c r="X35" i="3"/>
  <c r="B12" i="3"/>
  <c r="Y9" i="3"/>
  <c r="Y4" i="3" s="1"/>
  <c r="Y32" i="3"/>
  <c r="E9" i="3"/>
  <c r="M31" i="3"/>
  <c r="R9" i="3"/>
  <c r="R8" i="3" s="1"/>
  <c r="W35" i="3"/>
  <c r="O16" i="3"/>
  <c r="F9" i="3"/>
  <c r="Z11" i="3"/>
  <c r="N36" i="3"/>
  <c r="Q9" i="3"/>
  <c r="Q5" i="3" s="1"/>
  <c r="P35" i="3"/>
  <c r="B30" i="3"/>
  <c r="M14" i="3"/>
  <c r="V33" i="3"/>
  <c r="I14" i="3"/>
  <c r="M36" i="3"/>
  <c r="T22" i="3"/>
  <c r="T34" i="3"/>
  <c r="R34" i="3"/>
  <c r="U32" i="3"/>
  <c r="O27" i="3"/>
  <c r="B13" i="3"/>
  <c r="O12" i="3"/>
  <c r="Z17" i="3"/>
  <c r="B29" i="3"/>
  <c r="E22" i="3"/>
  <c r="O5" i="3"/>
  <c r="Z10" i="3"/>
  <c r="D34" i="3"/>
  <c r="Z6" i="3"/>
  <c r="B11" i="3"/>
  <c r="Z20" i="3"/>
  <c r="G22" i="3"/>
  <c r="G35" i="3"/>
  <c r="W22" i="3"/>
  <c r="H22" i="3"/>
  <c r="X22" i="3"/>
  <c r="O29" i="3"/>
  <c r="U28" i="3"/>
  <c r="D14" i="3"/>
  <c r="I22" i="3"/>
  <c r="N28" i="3"/>
  <c r="J36" i="3"/>
  <c r="E35" i="3"/>
  <c r="L33" i="3"/>
  <c r="G32" i="3"/>
  <c r="R14" i="3"/>
  <c r="Y22" i="3"/>
  <c r="V31" i="3"/>
  <c r="V35" i="3"/>
  <c r="Y33" i="3"/>
  <c r="S7" i="3"/>
  <c r="S4" i="3"/>
  <c r="Z13" i="3"/>
  <c r="B25" i="3"/>
  <c r="F22" i="3"/>
  <c r="B26" i="3"/>
  <c r="C34" i="3"/>
  <c r="P14" i="3"/>
  <c r="Q8" i="3"/>
  <c r="F35" i="3"/>
  <c r="Q14" i="3"/>
  <c r="Q11" i="3" s="1"/>
  <c r="B23" i="3"/>
  <c r="E14" i="3"/>
  <c r="J22" i="3"/>
  <c r="I36" i="3"/>
  <c r="D35" i="3"/>
  <c r="K33" i="3"/>
  <c r="F32" i="3"/>
  <c r="S14" i="3"/>
  <c r="S12" i="3" s="1"/>
  <c r="P28" i="3"/>
  <c r="W31" i="3"/>
  <c r="U35" i="3"/>
  <c r="X33" i="3"/>
  <c r="B8" i="3"/>
  <c r="R7" i="3"/>
  <c r="F6" i="3"/>
  <c r="B24" i="3"/>
  <c r="O26" i="3"/>
  <c r="O23" i="3"/>
  <c r="T32" i="3"/>
  <c r="S32" i="3"/>
  <c r="N31" i="3"/>
  <c r="X36" i="3"/>
  <c r="F14" i="3"/>
  <c r="F12" i="3" s="1"/>
  <c r="K22" i="3"/>
  <c r="D31" i="3"/>
  <c r="D30" i="3" s="1"/>
  <c r="H36" i="3"/>
  <c r="C35" i="3"/>
  <c r="J33" i="3"/>
  <c r="E32" i="3"/>
  <c r="T14" i="3"/>
  <c r="Q28" i="3"/>
  <c r="X31" i="3"/>
  <c r="T35" i="3"/>
  <c r="W33" i="3"/>
  <c r="B7" i="3"/>
  <c r="Q7" i="3"/>
  <c r="E6" i="3"/>
  <c r="Q4" i="3"/>
  <c r="Z27" i="3"/>
  <c r="Z24" i="3"/>
  <c r="C20" i="3"/>
  <c r="O18" i="3"/>
  <c r="E34" i="3"/>
  <c r="S34" i="3"/>
  <c r="G14" i="3"/>
  <c r="L22" i="3"/>
  <c r="E31" i="3"/>
  <c r="G36" i="3"/>
  <c r="N34" i="3"/>
  <c r="I33" i="3"/>
  <c r="D32" i="3"/>
  <c r="U14" i="3"/>
  <c r="R28" i="3"/>
  <c r="Y31" i="3"/>
  <c r="Y29" i="3" s="1"/>
  <c r="S35" i="3"/>
  <c r="U33" i="3"/>
  <c r="B6" i="3"/>
  <c r="O11" i="3"/>
  <c r="Z19" i="3"/>
  <c r="Z16" i="3"/>
  <c r="Z29" i="3"/>
  <c r="R12" i="3"/>
  <c r="M33" i="3"/>
  <c r="H32" i="3"/>
  <c r="P34" i="3"/>
  <c r="H6" i="3"/>
  <c r="C9" i="3"/>
  <c r="H14" i="3"/>
  <c r="H11" i="3" s="1"/>
  <c r="M22" i="3"/>
  <c r="M20" i="3" s="1"/>
  <c r="F31" i="3"/>
  <c r="F29" i="3" s="1"/>
  <c r="F36" i="3"/>
  <c r="M34" i="3"/>
  <c r="H33" i="3"/>
  <c r="C32" i="3"/>
  <c r="V14" i="3"/>
  <c r="S28" i="3"/>
  <c r="Y36" i="3"/>
  <c r="T33" i="3"/>
  <c r="O7" i="3"/>
  <c r="Z12" i="3"/>
  <c r="B15" i="3"/>
  <c r="D24" i="3"/>
  <c r="D26" i="3"/>
  <c r="Q34" i="3"/>
  <c r="G33" i="3"/>
  <c r="P9" i="3"/>
  <c r="W14" i="3"/>
  <c r="S33" i="3"/>
  <c r="Z8" i="3"/>
  <c r="Z5" i="3"/>
  <c r="F5" i="3"/>
  <c r="B19" i="3"/>
  <c r="N9" i="3"/>
  <c r="N22" i="3"/>
  <c r="L34" i="3"/>
  <c r="W36" i="3"/>
  <c r="B4" i="3"/>
  <c r="D9" i="3"/>
  <c r="P32" i="3"/>
  <c r="Q32" i="3"/>
  <c r="M9" i="3"/>
  <c r="J14" i="3"/>
  <c r="C28" i="3"/>
  <c r="C24" i="3" s="1"/>
  <c r="H31" i="3"/>
  <c r="H30" i="3" s="1"/>
  <c r="K34" i="3"/>
  <c r="F33" i="3"/>
  <c r="X14" i="3"/>
  <c r="V28" i="3"/>
  <c r="V36" i="3"/>
  <c r="Y34" i="3"/>
  <c r="R33" i="3"/>
  <c r="S6" i="3"/>
  <c r="E5" i="3"/>
  <c r="D27" i="3"/>
  <c r="Z23" i="3"/>
  <c r="R13" i="3"/>
  <c r="R10" i="3"/>
  <c r="B18" i="3"/>
  <c r="C16" i="3"/>
  <c r="O4" i="3"/>
  <c r="O6" i="3"/>
  <c r="O8" i="3"/>
  <c r="W9" i="3"/>
  <c r="U36" i="3"/>
  <c r="X34" i="3"/>
  <c r="Q33" i="3"/>
  <c r="F8" i="3"/>
  <c r="O25" i="3"/>
  <c r="Q13" i="3"/>
  <c r="E12" i="3"/>
  <c r="O10" i="3"/>
  <c r="B17" i="3"/>
  <c r="Z15" i="3"/>
  <c r="C15" i="3"/>
  <c r="K9" i="3"/>
  <c r="L14" i="3"/>
  <c r="E28" i="3"/>
  <c r="J31" i="3"/>
  <c r="J29" i="3" s="1"/>
  <c r="N35" i="3"/>
  <c r="I34" i="3"/>
  <c r="D33" i="3"/>
  <c r="V9" i="3"/>
  <c r="Q22" i="3"/>
  <c r="X28" i="3"/>
  <c r="T36" i="3"/>
  <c r="W34" i="3"/>
  <c r="P33" i="3"/>
  <c r="Q6" i="3"/>
  <c r="B16" i="3"/>
  <c r="O30" i="3"/>
  <c r="H5" i="3"/>
  <c r="H7" i="3"/>
  <c r="V22" i="3"/>
  <c r="Y30" i="3"/>
  <c r="V34" i="3"/>
  <c r="Z4" i="3"/>
  <c r="H4" i="3"/>
  <c r="O13" i="3"/>
  <c r="Z21" i="3"/>
  <c r="I29" i="3"/>
  <c r="S8" i="3"/>
  <c r="L9" i="3"/>
  <c r="J34" i="3"/>
  <c r="E33" i="3"/>
  <c r="X9" i="3"/>
  <c r="P22" i="3"/>
  <c r="B20" i="3"/>
  <c r="B21" i="3"/>
  <c r="J9" i="3"/>
  <c r="M35" i="3"/>
  <c r="H34" i="3"/>
  <c r="N32" i="3"/>
  <c r="U9" i="3"/>
  <c r="R22" i="3"/>
  <c r="O15" i="3"/>
  <c r="O17" i="3"/>
  <c r="O19" i="3"/>
  <c r="O21" i="3"/>
  <c r="Y14" i="3"/>
  <c r="Y11" i="3" s="1"/>
  <c r="I9" i="3"/>
  <c r="N14" i="3"/>
  <c r="G28" i="3"/>
  <c r="L31" i="3"/>
  <c r="L30" i="3" s="1"/>
  <c r="L35" i="3"/>
  <c r="F34" i="3"/>
  <c r="T9" i="3"/>
  <c r="R36" i="3"/>
  <c r="X32" i="3"/>
  <c r="D23" i="3"/>
  <c r="M30" i="3"/>
  <c r="G8" i="3" l="1"/>
  <c r="T23" i="3"/>
  <c r="W29" i="3"/>
  <c r="G4" i="3"/>
  <c r="T29" i="3"/>
  <c r="C17" i="3"/>
  <c r="S10" i="3"/>
  <c r="G7" i="3"/>
  <c r="R11" i="3"/>
  <c r="S13" i="3"/>
  <c r="G5" i="3"/>
  <c r="R4" i="3"/>
  <c r="T30" i="3"/>
  <c r="G12" i="3"/>
  <c r="D29" i="3"/>
  <c r="C21" i="3"/>
  <c r="I21" i="3"/>
  <c r="T25" i="3"/>
  <c r="T26" i="3"/>
  <c r="H13" i="3"/>
  <c r="T24" i="3"/>
  <c r="C18" i="3"/>
  <c r="Y8" i="3"/>
  <c r="C19" i="3"/>
  <c r="F30" i="3"/>
  <c r="I16" i="3"/>
  <c r="K29" i="3"/>
  <c r="K30" i="3"/>
  <c r="S11" i="3"/>
  <c r="Y6" i="3"/>
  <c r="F4" i="3"/>
  <c r="F7" i="3"/>
  <c r="G11" i="3"/>
  <c r="H12" i="3"/>
  <c r="Y7" i="3"/>
  <c r="L29" i="3"/>
  <c r="Y5" i="3"/>
  <c r="R6" i="3"/>
  <c r="R5" i="3"/>
  <c r="I19" i="3"/>
  <c r="E8" i="3"/>
  <c r="E4" i="3"/>
  <c r="E7" i="3"/>
  <c r="F13" i="3"/>
  <c r="K25" i="3"/>
  <c r="K20" i="3"/>
  <c r="K26" i="3"/>
  <c r="K23" i="3"/>
  <c r="K27" i="3"/>
  <c r="K24" i="3"/>
  <c r="X26" i="3"/>
  <c r="X23" i="3"/>
  <c r="X24" i="3"/>
  <c r="X27" i="3"/>
  <c r="X25" i="3"/>
  <c r="I20" i="3"/>
  <c r="I18" i="3"/>
  <c r="Y13" i="3"/>
  <c r="U29" i="3"/>
  <c r="U23" i="3"/>
  <c r="U30" i="3"/>
  <c r="X29" i="3"/>
  <c r="X30" i="3"/>
  <c r="C29" i="3"/>
  <c r="C30" i="3"/>
  <c r="G29" i="3"/>
  <c r="G30" i="3"/>
  <c r="V8" i="3"/>
  <c r="V12" i="3"/>
  <c r="V11" i="3"/>
  <c r="V5" i="3"/>
  <c r="V6" i="3"/>
  <c r="V10" i="3"/>
  <c r="V13" i="3"/>
  <c r="V4" i="3"/>
  <c r="V7" i="3"/>
  <c r="J17" i="3"/>
  <c r="J18" i="3"/>
  <c r="J21" i="3"/>
  <c r="J15" i="3"/>
  <c r="J16" i="3"/>
  <c r="J19" i="3"/>
  <c r="J20" i="3"/>
  <c r="S29" i="3"/>
  <c r="S30" i="3"/>
  <c r="Q16" i="3"/>
  <c r="Q17" i="3"/>
  <c r="Q20" i="3"/>
  <c r="Q19" i="3"/>
  <c r="Q21" i="3"/>
  <c r="Q15" i="3"/>
  <c r="Q18" i="3"/>
  <c r="H26" i="3"/>
  <c r="H23" i="3"/>
  <c r="H24" i="3"/>
  <c r="H27" i="3"/>
  <c r="H25" i="3"/>
  <c r="M19" i="3"/>
  <c r="J7" i="3"/>
  <c r="J11" i="3"/>
  <c r="J4" i="3"/>
  <c r="J5" i="3"/>
  <c r="J8" i="3"/>
  <c r="J12" i="3"/>
  <c r="J10" i="3"/>
  <c r="J13" i="3"/>
  <c r="J6" i="3"/>
  <c r="E15" i="3"/>
  <c r="E18" i="3"/>
  <c r="E19" i="3"/>
  <c r="E16" i="3"/>
  <c r="E21" i="3"/>
  <c r="E11" i="3"/>
  <c r="E17" i="3"/>
  <c r="E20" i="3"/>
  <c r="W23" i="3"/>
  <c r="W24" i="3"/>
  <c r="W27" i="3"/>
  <c r="W26" i="3"/>
  <c r="W25" i="3"/>
  <c r="H10" i="3"/>
  <c r="M16" i="3"/>
  <c r="H29" i="3"/>
  <c r="V23" i="3"/>
  <c r="V26" i="3"/>
  <c r="V24" i="3"/>
  <c r="V27" i="3"/>
  <c r="V25" i="3"/>
  <c r="V18" i="3"/>
  <c r="V19" i="3"/>
  <c r="V16" i="3"/>
  <c r="V15" i="3"/>
  <c r="V17" i="3"/>
  <c r="V20" i="3"/>
  <c r="V21" i="3"/>
  <c r="X11" i="3"/>
  <c r="X13" i="3"/>
  <c r="X5" i="3"/>
  <c r="X7" i="3"/>
  <c r="X4" i="3"/>
  <c r="X8" i="3"/>
  <c r="X12" i="3"/>
  <c r="X6" i="3"/>
  <c r="X10" i="3"/>
  <c r="L23" i="3"/>
  <c r="L25" i="3"/>
  <c r="L27" i="3"/>
  <c r="L26" i="3"/>
  <c r="L24" i="3"/>
  <c r="J30" i="3"/>
  <c r="M15" i="3"/>
  <c r="S26" i="3"/>
  <c r="F21" i="3"/>
  <c r="F15" i="3"/>
  <c r="F18" i="3"/>
  <c r="F19" i="3"/>
  <c r="F16" i="3"/>
  <c r="F17" i="3"/>
  <c r="F20" i="3"/>
  <c r="P24" i="3"/>
  <c r="P25" i="3"/>
  <c r="P27" i="3"/>
  <c r="P23" i="3"/>
  <c r="P26" i="3"/>
  <c r="W16" i="3"/>
  <c r="W18" i="3"/>
  <c r="W20" i="3"/>
  <c r="W15" i="3"/>
  <c r="W19" i="3"/>
  <c r="W21" i="3"/>
  <c r="W17" i="3"/>
  <c r="G16" i="3"/>
  <c r="G18" i="3"/>
  <c r="G20" i="3"/>
  <c r="G21" i="3"/>
  <c r="G15" i="3"/>
  <c r="G19" i="3"/>
  <c r="G17" i="3"/>
  <c r="P15" i="3"/>
  <c r="P17" i="3"/>
  <c r="P19" i="3"/>
  <c r="P21" i="3"/>
  <c r="P20" i="3"/>
  <c r="P16" i="3"/>
  <c r="P18" i="3"/>
  <c r="G26" i="3"/>
  <c r="G23" i="3"/>
  <c r="G24" i="3"/>
  <c r="G27" i="3"/>
  <c r="G25" i="3"/>
  <c r="M21" i="3"/>
  <c r="S23" i="3"/>
  <c r="N20" i="3"/>
  <c r="N17" i="3"/>
  <c r="N18" i="3"/>
  <c r="N21" i="3"/>
  <c r="N15" i="3"/>
  <c r="N16" i="3"/>
  <c r="N19" i="3"/>
  <c r="C27" i="3"/>
  <c r="M6" i="3"/>
  <c r="M10" i="3"/>
  <c r="M7" i="3"/>
  <c r="M11" i="3"/>
  <c r="M4" i="3"/>
  <c r="M5" i="3"/>
  <c r="M8" i="3"/>
  <c r="M13" i="3"/>
  <c r="M12" i="3"/>
  <c r="Y18" i="3"/>
  <c r="Y21" i="3"/>
  <c r="Y15" i="3"/>
  <c r="Y16" i="3"/>
  <c r="Y19" i="3"/>
  <c r="Y20" i="3"/>
  <c r="Y17" i="3"/>
  <c r="D8" i="3"/>
  <c r="D12" i="3"/>
  <c r="D5" i="3"/>
  <c r="D6" i="3"/>
  <c r="D10" i="3"/>
  <c r="D13" i="3"/>
  <c r="D11" i="3"/>
  <c r="D4" i="3"/>
  <c r="D7" i="3"/>
  <c r="P10" i="3"/>
  <c r="P12" i="3"/>
  <c r="P4" i="3"/>
  <c r="P6" i="3"/>
  <c r="P8" i="3"/>
  <c r="P13" i="3"/>
  <c r="P7" i="3"/>
  <c r="P11" i="3"/>
  <c r="P5" i="3"/>
  <c r="Y26" i="3"/>
  <c r="Y23" i="3"/>
  <c r="Y24" i="3"/>
  <c r="Y27" i="3"/>
  <c r="Y25" i="3"/>
  <c r="Q12" i="3"/>
  <c r="E24" i="3"/>
  <c r="E26" i="3"/>
  <c r="E23" i="3"/>
  <c r="E27" i="3"/>
  <c r="E25" i="3"/>
  <c r="M18" i="3"/>
  <c r="S25" i="3"/>
  <c r="Q24" i="3"/>
  <c r="Q27" i="3"/>
  <c r="Q25" i="3"/>
  <c r="Q23" i="3"/>
  <c r="Q26" i="3"/>
  <c r="I11" i="3"/>
  <c r="I13" i="3"/>
  <c r="I7" i="3"/>
  <c r="I4" i="3"/>
  <c r="I5" i="3"/>
  <c r="I8" i="3"/>
  <c r="I12" i="3"/>
  <c r="I6" i="3"/>
  <c r="I10" i="3"/>
  <c r="E29" i="3"/>
  <c r="E30" i="3"/>
  <c r="C26" i="3"/>
  <c r="R16" i="3"/>
  <c r="R17" i="3"/>
  <c r="R20" i="3"/>
  <c r="R21" i="3"/>
  <c r="R15" i="3"/>
  <c r="R18" i="3"/>
  <c r="R19" i="3"/>
  <c r="Q10" i="3"/>
  <c r="M17" i="3"/>
  <c r="S24" i="3"/>
  <c r="L10" i="3"/>
  <c r="L6" i="3"/>
  <c r="L7" i="3"/>
  <c r="L11" i="3"/>
  <c r="L4" i="3"/>
  <c r="L13" i="3"/>
  <c r="L5" i="3"/>
  <c r="L8" i="3"/>
  <c r="L12" i="3"/>
  <c r="L17" i="3"/>
  <c r="L18" i="3"/>
  <c r="L21" i="3"/>
  <c r="L15" i="3"/>
  <c r="L16" i="3"/>
  <c r="L19" i="3"/>
  <c r="L20" i="3"/>
  <c r="W5" i="3"/>
  <c r="W7" i="3"/>
  <c r="W8" i="3"/>
  <c r="W11" i="3"/>
  <c r="W12" i="3"/>
  <c r="W6" i="3"/>
  <c r="W4" i="3"/>
  <c r="W10" i="3"/>
  <c r="W13" i="3"/>
  <c r="Q29" i="3"/>
  <c r="Q30" i="3"/>
  <c r="F26" i="3"/>
  <c r="F23" i="3"/>
  <c r="F24" i="3"/>
  <c r="F27" i="3"/>
  <c r="F25" i="3"/>
  <c r="S27" i="3"/>
  <c r="K21" i="3"/>
  <c r="M23" i="3"/>
  <c r="M25" i="3"/>
  <c r="M27" i="3"/>
  <c r="M26" i="3"/>
  <c r="M24" i="3"/>
  <c r="P29" i="3"/>
  <c r="P30" i="3"/>
  <c r="F11" i="3"/>
  <c r="U27" i="3"/>
  <c r="J25" i="3"/>
  <c r="J26" i="3"/>
  <c r="J23" i="3"/>
  <c r="J24" i="3"/>
  <c r="J27" i="3"/>
  <c r="K7" i="3"/>
  <c r="K11" i="3"/>
  <c r="K4" i="3"/>
  <c r="K6" i="3"/>
  <c r="K10" i="3"/>
  <c r="K5" i="3"/>
  <c r="K8" i="3"/>
  <c r="K12" i="3"/>
  <c r="K13" i="3"/>
  <c r="T19" i="3"/>
  <c r="T16" i="3"/>
  <c r="T17" i="3"/>
  <c r="T20" i="3"/>
  <c r="T21" i="3"/>
  <c r="T15" i="3"/>
  <c r="T18" i="3"/>
  <c r="R27" i="3"/>
  <c r="R24" i="3"/>
  <c r="R25" i="3"/>
  <c r="R26" i="3"/>
  <c r="R23" i="3"/>
  <c r="N25" i="3"/>
  <c r="N23" i="3"/>
  <c r="N26" i="3"/>
  <c r="N24" i="3"/>
  <c r="N27" i="3"/>
  <c r="H16" i="3"/>
  <c r="H18" i="3"/>
  <c r="H20" i="3"/>
  <c r="H21" i="3"/>
  <c r="H15" i="3"/>
  <c r="H19" i="3"/>
  <c r="H17" i="3"/>
  <c r="E10" i="3"/>
  <c r="S19" i="3"/>
  <c r="S16" i="3"/>
  <c r="S17" i="3"/>
  <c r="S20" i="3"/>
  <c r="S15" i="3"/>
  <c r="S21" i="3"/>
  <c r="S18" i="3"/>
  <c r="W30" i="3"/>
  <c r="G10" i="3"/>
  <c r="Y10" i="3"/>
  <c r="U8" i="3"/>
  <c r="U12" i="3"/>
  <c r="U5" i="3"/>
  <c r="U6" i="3"/>
  <c r="U7" i="3"/>
  <c r="U10" i="3"/>
  <c r="U13" i="3"/>
  <c r="U4" i="3"/>
  <c r="U11" i="3"/>
  <c r="C8" i="3"/>
  <c r="C12" i="3"/>
  <c r="C5" i="3"/>
  <c r="C6" i="3"/>
  <c r="C10" i="3"/>
  <c r="C13" i="3"/>
  <c r="C4" i="3"/>
  <c r="C7" i="3"/>
  <c r="C11" i="3"/>
  <c r="U26" i="3"/>
  <c r="N13" i="3"/>
  <c r="N6" i="3"/>
  <c r="N10" i="3"/>
  <c r="N7" i="3"/>
  <c r="N11" i="3"/>
  <c r="N4" i="3"/>
  <c r="N12" i="3"/>
  <c r="N5" i="3"/>
  <c r="N8" i="3"/>
  <c r="K15" i="3"/>
  <c r="K16" i="3"/>
  <c r="U24" i="3"/>
  <c r="I15" i="3"/>
  <c r="V29" i="3"/>
  <c r="V30" i="3"/>
  <c r="E13" i="3"/>
  <c r="K19" i="3"/>
  <c r="N29" i="3"/>
  <c r="N30" i="3"/>
  <c r="G13" i="3"/>
  <c r="R29" i="3"/>
  <c r="R30" i="3"/>
  <c r="F10" i="3"/>
  <c r="I25" i="3"/>
  <c r="I26" i="3"/>
  <c r="I23" i="3"/>
  <c r="I17" i="3"/>
  <c r="I24" i="3"/>
  <c r="I27" i="3"/>
  <c r="Y12" i="3"/>
  <c r="C23" i="3"/>
  <c r="U25" i="3"/>
  <c r="X16" i="3"/>
  <c r="X18" i="3"/>
  <c r="X20" i="3"/>
  <c r="X15" i="3"/>
  <c r="X19" i="3"/>
  <c r="X21" i="3"/>
  <c r="X17" i="3"/>
  <c r="T12" i="3"/>
  <c r="T5" i="3"/>
  <c r="T8" i="3"/>
  <c r="T6" i="3"/>
  <c r="T10" i="3"/>
  <c r="T13" i="3"/>
  <c r="T7" i="3"/>
  <c r="T4" i="3"/>
  <c r="T11" i="3"/>
  <c r="K18" i="3"/>
  <c r="U19" i="3"/>
  <c r="U16" i="3"/>
  <c r="U18" i="3"/>
  <c r="U21" i="3"/>
  <c r="U17" i="3"/>
  <c r="U20" i="3"/>
  <c r="U15" i="3"/>
  <c r="C25" i="3"/>
  <c r="D19" i="3"/>
  <c r="D16" i="3"/>
  <c r="D18" i="3"/>
  <c r="D17" i="3"/>
  <c r="D20" i="3"/>
  <c r="D15" i="3"/>
  <c r="D21" i="3"/>
  <c r="K17" i="3"/>
</calcChain>
</file>

<file path=xl/sharedStrings.xml><?xml version="1.0" encoding="utf-8"?>
<sst xmlns="http://schemas.openxmlformats.org/spreadsheetml/2006/main" count="379" uniqueCount="108">
  <si>
    <t>#</t>
  </si>
  <si>
    <t>Fuel Before</t>
  </si>
  <si>
    <t>[g]</t>
  </si>
  <si>
    <t>throttle</t>
  </si>
  <si>
    <t>load</t>
  </si>
  <si>
    <t>[A/B/C]</t>
  </si>
  <si>
    <t>[s]</t>
  </si>
  <si>
    <t>voltage</t>
  </si>
  <si>
    <t>Time Elapsed</t>
  </si>
  <si>
    <t>Fuel After</t>
  </si>
  <si>
    <t>Voltage-M</t>
  </si>
  <si>
    <t>Current-M</t>
  </si>
  <si>
    <t>[V]</t>
  </si>
  <si>
    <t>[A]</t>
  </si>
  <si>
    <t>rpm-E</t>
  </si>
  <si>
    <t>[rpm]</t>
  </si>
  <si>
    <t>v,m*(71rpm/v)*(16/15)</t>
  </si>
  <si>
    <t>[%]</t>
  </si>
  <si>
    <t>Power-M</t>
  </si>
  <si>
    <t>[kW]</t>
  </si>
  <si>
    <t>Power-E</t>
  </si>
  <si>
    <t>A</t>
  </si>
  <si>
    <t>[per 2mm]</t>
  </si>
  <si>
    <t>raw data</t>
  </si>
  <si>
    <t>AB</t>
  </si>
  <si>
    <t>Fuel Consumption</t>
  </si>
  <si>
    <t>[g/s]</t>
  </si>
  <si>
    <t>C</t>
  </si>
  <si>
    <t>AC</t>
  </si>
  <si>
    <t>BC</t>
  </si>
  <si>
    <t>B</t>
  </si>
  <si>
    <t>4*</t>
  </si>
  <si>
    <t>23*</t>
  </si>
  <si>
    <t>AGNI EFFICIENCY</t>
  </si>
  <si>
    <t>current</t>
  </si>
  <si>
    <t>volt/current</t>
  </si>
  <si>
    <t>ENGINE DATA</t>
  </si>
  <si>
    <t>rpm : N = x</t>
  </si>
  <si>
    <t>torque: Tb = y</t>
  </si>
  <si>
    <t>BSFC = z</t>
  </si>
  <si>
    <t>GOERING</t>
  </si>
  <si>
    <t>rpm</t>
  </si>
  <si>
    <t>[Nm]</t>
  </si>
  <si>
    <t>[g/kWh]</t>
  </si>
  <si>
    <t>Efficiency-M</t>
  </si>
  <si>
    <t>Torque-E</t>
  </si>
  <si>
    <t>N (x)</t>
  </si>
  <si>
    <t>T_b (y)</t>
  </si>
  <si>
    <t>BSFC (z)</t>
  </si>
  <si>
    <t>z = (3600/Hg)*(1+De/(4*pi*y)*(A0+A1*(x/1000)+A2*(x/1000)^2))*((1/e_ito)*(1+y^nexp*(B0+B1*(x/1000)^(-1)+B2*(x/1000)^(-2)+B3*(x/1000)^(-3)+B4*(x/10000)^(-4))))</t>
  </si>
  <si>
    <t>ave SFC</t>
  </si>
  <si>
    <t>actual data</t>
  </si>
  <si>
    <t>Tb</t>
  </si>
  <si>
    <t>arrays</t>
  </si>
  <si>
    <t>tb</t>
  </si>
  <si>
    <t>bsfc</t>
  </si>
  <si>
    <t>1249.6 1779.73333333333 2287.14666666667 2499.2 2385.6 1984.21333333333 1529.81333333333 1408.64 1317.76 1741.86666666667 2272 2605.22666666667 2484.05333333333 2128.10666666667 1567.68 1242.02666666667 1196.58666666667 1582.82666666667 2188.69333333333 2552.21333333333 2809.70666666667 1325.33333333333 1544.96</t>
  </si>
  <si>
    <t>2.66155280357326 3.45536745928218 4.3118483380818 4.51970450927327 7.25543851144406 6.98016883632546 4.42261106372708 3.78921281139137 2.65734592348331 2.63146568492417 2.94949857472008 3.33467311611344 5.54359586847073 5.10369083636934 3.54280637839879 2.96031275155343 2.87350038983029 3.56502266196961 5.11733003506074 5.41546303503331 5.7676156511761 2.65687931313679 2.94842928625324</t>
  </si>
  <si>
    <t>6.02954545454548 5.12431888946546 4.64788235907598 5.32599650349653 6.12397020157758 5.17104544248271 5.08108772415707 5.90386350717632 4.36321839080451 4.54545454545461 4.66363636363643 4.76756921979663 4.89498345510494 4.5871933007937 5.89494487206166 5.88041859470729 6.05946831542206 5.20705743080407 4.58111018878103 4.58059067096137 4.37035602075806 5.11144353029177 4.31248778581206</t>
  </si>
  <si>
    <t>De</t>
  </si>
  <si>
    <t>Hg</t>
  </si>
  <si>
    <t>a0</t>
  </si>
  <si>
    <t>a1</t>
  </si>
  <si>
    <t>a2</t>
  </si>
  <si>
    <t>b0</t>
  </si>
  <si>
    <t>b1</t>
  </si>
  <si>
    <t>b2</t>
  </si>
  <si>
    <t>b3</t>
  </si>
  <si>
    <t>b4</t>
  </si>
  <si>
    <t>e_ito</t>
  </si>
  <si>
    <t>nexp</t>
  </si>
  <si>
    <t>inf</t>
  </si>
  <si>
    <t>exact</t>
  </si>
  <si>
    <t>+</t>
  </si>
  <si>
    <t>-</t>
  </si>
  <si>
    <t>gross fuel heating value [kJ/kg]</t>
  </si>
  <si>
    <t>displacement [cm3]</t>
  </si>
  <si>
    <t>constraints</t>
  </si>
  <si>
    <t>assumed from 42-46MJ diesel normal values</t>
  </si>
  <si>
    <t>S</t>
  </si>
  <si>
    <t>Speed (rpm)</t>
  </si>
  <si>
    <t>Torque (Nm)</t>
  </si>
  <si>
    <t>Ave. SFC (g. kWh)</t>
  </si>
  <si>
    <t>BSFC model</t>
  </si>
  <si>
    <t>error</t>
  </si>
  <si>
    <t>mse</t>
  </si>
  <si>
    <t>Goering Model</t>
  </si>
  <si>
    <t>A0</t>
  </si>
  <si>
    <t>A1</t>
  </si>
  <si>
    <t>A2</t>
  </si>
  <si>
    <t>eito</t>
  </si>
  <si>
    <t>n</t>
  </si>
  <si>
    <t>B0</t>
  </si>
  <si>
    <t>B1</t>
  </si>
  <si>
    <t>B2</t>
  </si>
  <si>
    <t>B3</t>
  </si>
  <si>
    <t>B4</t>
  </si>
  <si>
    <t>rmse</t>
  </si>
  <si>
    <t>%err</t>
  </si>
  <si>
    <t>pearson</t>
  </si>
  <si>
    <t>y = (3600/44000)*(1+211/(4*pi*x2)*(a0+a1*(x1/1000)+a2*(x1/1000)^2))*((1/a3)*(1+x2^a4*(a5+a6*(x1/1000)^(-1)+a7*(x1/1000)^(-2)+a8*(x1/1000)^(-3)+a9*(x1/10000)^(-4))))</t>
  </si>
  <si>
    <t>Y = (3600/44000) · (1+211/(4 · pi · x2) · (a0+a1 · (x1/1000)+a2 · (x1/1000)^2)) · ((1/a3) · (1+x2^a4 · (a5+a6 · (x1/1000)^(-1)+a7 · (x1/1000)^(-2)+a8 · (x1/1000)^(-3)+a9 · (x1/10000)^(-4))))</t>
  </si>
  <si>
    <t>z = (3600/Hg)</t>
  </si>
  <si>
    <t>*(1+De/(4*pi*y)*(A0+A1*(x/1000)+A2*(x/1000)^2))</t>
  </si>
  <si>
    <t>*((1/e_ito)*(1+y^nexp*(B0+B1*(x/1000)^(-1)+B2*(x/1000)^(-2)+B3*(x/1000)^(-3)+B4*(x/10000)^(-4))))</t>
  </si>
  <si>
    <t>3600/Hg</t>
  </si>
  <si>
    <t>De/4*pi</t>
  </si>
  <si>
    <r>
      <t xml:space="preserve">Y = (3600/44000) · (1+211/(4 · pi) · </t>
    </r>
    <r>
      <rPr>
        <b/>
        <sz val="11"/>
        <color theme="1"/>
        <rFont val="Aptos Narrow"/>
        <family val="2"/>
        <scheme val="minor"/>
      </rPr>
      <t>x2^-1</t>
    </r>
    <r>
      <rPr>
        <sz val="11"/>
        <color theme="1"/>
        <rFont val="Aptos Narrow"/>
        <family val="2"/>
        <scheme val="minor"/>
      </rPr>
      <t xml:space="preserve"> · (a0+a1 · (x1/1000)+a2 · (x1/1000)^2)) · ((1/a3) · (1+x2^a4 · (a5+a6 · (x1/1000)^(-1)+a7 · (x1/1000)^(-2)+a8 · (x1/1000)^(-3)+a9 · (x1/10000)^(-4))))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</si>
</sst>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10" fontId="0" fillId="0" borderId="0" xfId="1" applyNumberFormat="1" applyFont="1"/>
    <xf numFmtId="0" fontId="0" fillId="0" borderId="0" xfId="0" quotePrefix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554915</xdr:colOff>
      <xdr:row>8</xdr:row>
      <xdr:rowOff>77546</xdr:rowOff>
    </xdr:from>
    <xdr:to>
      <xdr:col>26</xdr:col>
      <xdr:colOff>527103</xdr:colOff>
      <xdr:row>23</xdr:row>
      <xdr:rowOff>135086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D0CDD-AEF3-479A-849A-669B6BED2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5739" y="1601546"/>
          <a:ext cx="5418246" cy="291504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48</xdr:row>
      <xdr:rowOff>108108</xdr:rowOff>
    </xdr:from>
    <xdr:to>
      <xdr:col>21</xdr:col>
      <xdr:colOff>553974</xdr:colOff>
      <xdr:row>87</xdr:row>
      <xdr:rowOff>128253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D656F8-D96E-BE83-5CEC-3A22A1D36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8886348"/>
          <a:ext cx="12715494" cy="7152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23D4A42-0A18-4685-A8E6-C1BC2E0C4F57}">
  <we:reference id="fe56a26b-fb5a-4969-ac60-5b6477c845c0" version="1.0.0.0" store="EXCatalog" storeType="EXCatalog"/>
  <we:alternateReferences>
    <we:reference id="WA200002468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_xldudf_INTERPXY</we:customFunctionIds>
        <we:customFunctionIds>_xldudf_DERIVXY</we:customFunctionIds>
        <we:customFunctionIds>_xldudf_QUADXY</we:customFunctionIds>
        <we:customFunctionIds>_xldudf_INTERPXYZ</we:customFunctionIds>
        <we:customFunctionIds>_xldudf_GRIDXYZ</we:customFunctionIds>
        <we:customFunctionIds>_xldudf_QUADF</we:customFunctionIds>
        <we:customFunctionIds>_xldudf_DERIVF</we:customFunctionIds>
        <we:customFunctionIds>_xldudf_NLSOLVE</we:customFunctionIds>
        <we:customFunctionIds>_xldudf_IVSOLVE</we:customFunctionIds>
        <we:customFunctionIds>_xldudf_ARRAYVAL</we:customFunctionIds>
        <we:customFunctionIds>_xldudf_DYNVAL</we:customFunctionIds>
        <we:customFunctionIds>_xldudf_BVSOLVE</we:customFunctionIds>
        <we:customFunctionIds>_xldudf_PDSOLVE</we:customFunctionIds>
        <we:customFunctionIds>_xldudf_PDASOLVE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7C4BCD7-27A5-4828-808D-F44587039655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5421746182634264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9021-B42D-49A2-9EBC-77DBEF24FDD4}">
  <dimension ref="A1:E249"/>
  <sheetViews>
    <sheetView workbookViewId="0">
      <selection activeCell="F26" sqref="F26"/>
    </sheetView>
  </sheetViews>
  <sheetFormatPr defaultRowHeight="15" x14ac:dyDescent="0.25"/>
  <cols>
    <col min="1" max="1" width="4.28515625" style="2" customWidth="1"/>
  </cols>
  <sheetData>
    <row r="1" spans="1:5" x14ac:dyDescent="0.25">
      <c r="B1" s="5">
        <v>45777</v>
      </c>
    </row>
    <row r="2" spans="1:5" x14ac:dyDescent="0.25">
      <c r="B2" s="4" t="s">
        <v>23</v>
      </c>
    </row>
    <row r="4" spans="1:5" x14ac:dyDescent="0.25">
      <c r="B4" s="14" t="s">
        <v>23</v>
      </c>
      <c r="C4" s="14"/>
      <c r="D4" s="14"/>
      <c r="E4" s="14"/>
    </row>
    <row r="5" spans="1:5" x14ac:dyDescent="0.25">
      <c r="B5" t="s">
        <v>22</v>
      </c>
      <c r="C5" t="s">
        <v>5</v>
      </c>
      <c r="D5" t="s">
        <v>12</v>
      </c>
      <c r="E5" t="s">
        <v>13</v>
      </c>
    </row>
    <row r="6" spans="1:5" x14ac:dyDescent="0.25">
      <c r="A6" s="2" t="s">
        <v>0</v>
      </c>
      <c r="B6" t="s">
        <v>3</v>
      </c>
      <c r="C6" t="s">
        <v>4</v>
      </c>
      <c r="D6" t="s">
        <v>10</v>
      </c>
      <c r="E6" t="s">
        <v>11</v>
      </c>
    </row>
    <row r="7" spans="1:5" x14ac:dyDescent="0.25">
      <c r="A7" s="2">
        <v>1</v>
      </c>
      <c r="B7">
        <v>1</v>
      </c>
      <c r="C7" t="s">
        <v>21</v>
      </c>
      <c r="D7" s="1">
        <v>17.2</v>
      </c>
      <c r="E7" s="1">
        <v>8.6</v>
      </c>
    </row>
    <row r="8" spans="1:5" x14ac:dyDescent="0.25">
      <c r="B8">
        <v>1</v>
      </c>
      <c r="C8" t="s">
        <v>21</v>
      </c>
      <c r="D8" s="1">
        <v>16.7</v>
      </c>
      <c r="E8" s="1">
        <v>9</v>
      </c>
    </row>
    <row r="9" spans="1:5" x14ac:dyDescent="0.25">
      <c r="B9">
        <v>1</v>
      </c>
      <c r="C9" t="s">
        <v>21</v>
      </c>
      <c r="D9" s="3">
        <v>16.5</v>
      </c>
      <c r="E9" s="3">
        <v>8.8000000000000007</v>
      </c>
    </row>
    <row r="10" spans="1:5" x14ac:dyDescent="0.25">
      <c r="B10">
        <v>1</v>
      </c>
      <c r="C10" t="s">
        <v>21</v>
      </c>
      <c r="D10" s="1">
        <v>16.399999999999999</v>
      </c>
      <c r="E10" s="1">
        <v>8.8000000000000007</v>
      </c>
    </row>
    <row r="11" spans="1:5" x14ac:dyDescent="0.25">
      <c r="B11">
        <v>1</v>
      </c>
      <c r="C11" t="s">
        <v>21</v>
      </c>
      <c r="D11" s="1">
        <v>16.600000000000001</v>
      </c>
      <c r="E11" s="1">
        <v>8.1</v>
      </c>
    </row>
    <row r="13" spans="1:5" x14ac:dyDescent="0.25">
      <c r="A13" s="2">
        <v>2</v>
      </c>
      <c r="B13">
        <v>2</v>
      </c>
      <c r="C13" t="s">
        <v>21</v>
      </c>
      <c r="D13" s="1">
        <v>23.5</v>
      </c>
      <c r="E13" s="1">
        <v>18.100000000000001</v>
      </c>
    </row>
    <row r="14" spans="1:5" x14ac:dyDescent="0.25">
      <c r="B14">
        <v>2</v>
      </c>
      <c r="C14" t="s">
        <v>21</v>
      </c>
      <c r="D14" s="1">
        <v>23.6</v>
      </c>
      <c r="E14" s="1">
        <v>18.7</v>
      </c>
    </row>
    <row r="15" spans="1:5" x14ac:dyDescent="0.25">
      <c r="B15">
        <v>2</v>
      </c>
      <c r="C15" t="s">
        <v>21</v>
      </c>
      <c r="D15" s="1">
        <v>23.5</v>
      </c>
      <c r="E15" s="1">
        <v>19.100000000000001</v>
      </c>
    </row>
    <row r="16" spans="1:5" x14ac:dyDescent="0.25">
      <c r="B16">
        <v>2</v>
      </c>
      <c r="C16" t="s">
        <v>21</v>
      </c>
      <c r="D16" s="1">
        <v>23.4</v>
      </c>
      <c r="E16" s="1">
        <v>19.899999999999999</v>
      </c>
    </row>
    <row r="17" spans="1:5" x14ac:dyDescent="0.25">
      <c r="B17">
        <v>2</v>
      </c>
      <c r="C17" t="s">
        <v>21</v>
      </c>
      <c r="D17" s="1">
        <v>23.4</v>
      </c>
      <c r="E17" s="1">
        <v>20.3</v>
      </c>
    </row>
    <row r="18" spans="1:5" x14ac:dyDescent="0.25">
      <c r="B18">
        <v>2</v>
      </c>
      <c r="C18" t="s">
        <v>21</v>
      </c>
      <c r="D18" s="3">
        <v>23.5</v>
      </c>
      <c r="E18" s="3">
        <v>20.5</v>
      </c>
    </row>
    <row r="19" spans="1:5" x14ac:dyDescent="0.25">
      <c r="B19">
        <v>2</v>
      </c>
      <c r="C19" t="s">
        <v>21</v>
      </c>
      <c r="D19" s="1">
        <v>23.3</v>
      </c>
      <c r="E19" s="1">
        <v>20.7</v>
      </c>
    </row>
    <row r="20" spans="1:5" x14ac:dyDescent="0.25">
      <c r="B20">
        <v>2</v>
      </c>
      <c r="C20" t="s">
        <v>21</v>
      </c>
      <c r="D20" s="1">
        <v>23.6</v>
      </c>
      <c r="E20" s="1">
        <v>21.3</v>
      </c>
    </row>
    <row r="22" spans="1:5" x14ac:dyDescent="0.25">
      <c r="A22" s="2">
        <v>3</v>
      </c>
      <c r="B22">
        <v>3</v>
      </c>
      <c r="C22" t="s">
        <v>21</v>
      </c>
      <c r="D22" s="1">
        <v>30.2</v>
      </c>
      <c r="E22" s="1">
        <v>26</v>
      </c>
    </row>
    <row r="23" spans="1:5" x14ac:dyDescent="0.25">
      <c r="B23">
        <v>3</v>
      </c>
      <c r="C23" t="s">
        <v>21</v>
      </c>
      <c r="D23" s="1">
        <v>30.3</v>
      </c>
      <c r="E23" s="1">
        <v>25.8</v>
      </c>
    </row>
    <row r="24" spans="1:5" x14ac:dyDescent="0.25">
      <c r="B24">
        <v>3</v>
      </c>
      <c r="C24" t="s">
        <v>21</v>
      </c>
      <c r="D24" s="1">
        <v>30.2</v>
      </c>
      <c r="E24" s="1">
        <v>25.6</v>
      </c>
    </row>
    <row r="25" spans="1:5" x14ac:dyDescent="0.25">
      <c r="B25">
        <v>3</v>
      </c>
      <c r="C25" t="s">
        <v>21</v>
      </c>
      <c r="D25" s="1">
        <v>30.3</v>
      </c>
      <c r="E25" s="1">
        <v>25.6</v>
      </c>
    </row>
    <row r="26" spans="1:5" x14ac:dyDescent="0.25">
      <c r="B26">
        <v>3</v>
      </c>
      <c r="C26" t="s">
        <v>21</v>
      </c>
      <c r="D26" s="1">
        <v>30.2</v>
      </c>
      <c r="E26" s="1">
        <v>25.4</v>
      </c>
    </row>
    <row r="27" spans="1:5" x14ac:dyDescent="0.25">
      <c r="B27">
        <v>3</v>
      </c>
      <c r="C27" t="s">
        <v>21</v>
      </c>
      <c r="D27" s="1">
        <v>30.3</v>
      </c>
      <c r="E27" s="1">
        <v>25.2</v>
      </c>
    </row>
    <row r="28" spans="1:5" x14ac:dyDescent="0.25">
      <c r="B28">
        <v>3</v>
      </c>
      <c r="C28" t="s">
        <v>21</v>
      </c>
      <c r="D28" s="3">
        <v>30.2</v>
      </c>
      <c r="E28" s="3">
        <v>25.4</v>
      </c>
    </row>
    <row r="29" spans="1:5" x14ac:dyDescent="0.25">
      <c r="B29">
        <v>3</v>
      </c>
      <c r="C29" t="s">
        <v>21</v>
      </c>
      <c r="D29" s="1">
        <v>30.2</v>
      </c>
      <c r="E29" s="1">
        <v>25.2</v>
      </c>
    </row>
    <row r="30" spans="1:5" x14ac:dyDescent="0.25">
      <c r="B30">
        <v>3</v>
      </c>
      <c r="C30" t="s">
        <v>21</v>
      </c>
      <c r="D30" s="1">
        <v>30.3</v>
      </c>
      <c r="E30" s="1">
        <v>25.4</v>
      </c>
    </row>
    <row r="32" spans="1:5" x14ac:dyDescent="0.25">
      <c r="A32" s="2">
        <v>4</v>
      </c>
      <c r="B32">
        <v>4</v>
      </c>
      <c r="C32" t="s">
        <v>21</v>
      </c>
      <c r="D32" s="3">
        <v>33</v>
      </c>
      <c r="E32" s="3">
        <v>26</v>
      </c>
    </row>
    <row r="34" spans="1:5" x14ac:dyDescent="0.25">
      <c r="A34" s="2">
        <v>5</v>
      </c>
      <c r="B34">
        <v>4</v>
      </c>
      <c r="C34" t="s">
        <v>24</v>
      </c>
      <c r="D34" s="1">
        <v>31.5</v>
      </c>
      <c r="E34" s="1">
        <v>53</v>
      </c>
    </row>
    <row r="35" spans="1:5" x14ac:dyDescent="0.25">
      <c r="B35">
        <v>4</v>
      </c>
      <c r="C35" t="s">
        <v>24</v>
      </c>
      <c r="D35" s="1">
        <v>30.9</v>
      </c>
      <c r="E35" s="1">
        <v>52.8</v>
      </c>
    </row>
    <row r="36" spans="1:5" x14ac:dyDescent="0.25">
      <c r="B36">
        <v>4</v>
      </c>
      <c r="C36" t="s">
        <v>24</v>
      </c>
      <c r="D36" s="1">
        <v>30.9</v>
      </c>
      <c r="E36" s="1">
        <v>51.6</v>
      </c>
    </row>
    <row r="37" spans="1:5" x14ac:dyDescent="0.25">
      <c r="B37">
        <v>4</v>
      </c>
      <c r="C37" t="s">
        <v>24</v>
      </c>
      <c r="D37" s="1">
        <v>31.3</v>
      </c>
      <c r="E37" s="1">
        <v>50.2</v>
      </c>
    </row>
    <row r="38" spans="1:5" x14ac:dyDescent="0.25">
      <c r="B38">
        <v>4</v>
      </c>
      <c r="C38" t="s">
        <v>24</v>
      </c>
      <c r="D38" s="1">
        <v>31.8</v>
      </c>
      <c r="E38" s="1">
        <v>48.5</v>
      </c>
    </row>
    <row r="39" spans="1:5" x14ac:dyDescent="0.25">
      <c r="B39">
        <v>4</v>
      </c>
      <c r="C39" t="s">
        <v>24</v>
      </c>
      <c r="D39" s="1">
        <v>31.8</v>
      </c>
      <c r="E39" s="1">
        <v>48.1</v>
      </c>
    </row>
    <row r="40" spans="1:5" x14ac:dyDescent="0.25">
      <c r="B40">
        <v>4</v>
      </c>
      <c r="C40" t="s">
        <v>24</v>
      </c>
      <c r="D40" s="3">
        <v>31.5</v>
      </c>
      <c r="E40" s="3">
        <v>48.9</v>
      </c>
    </row>
    <row r="41" spans="1:5" x14ac:dyDescent="0.25">
      <c r="B41">
        <v>4</v>
      </c>
      <c r="C41" t="s">
        <v>24</v>
      </c>
      <c r="D41" s="1">
        <v>32</v>
      </c>
      <c r="E41" s="1">
        <v>48.9</v>
      </c>
    </row>
    <row r="42" spans="1:5" x14ac:dyDescent="0.25">
      <c r="B42">
        <v>4</v>
      </c>
      <c r="C42" t="s">
        <v>24</v>
      </c>
      <c r="D42" s="1">
        <v>32</v>
      </c>
      <c r="E42" s="1">
        <v>48.5</v>
      </c>
    </row>
    <row r="44" spans="1:5" x14ac:dyDescent="0.25">
      <c r="A44" s="2">
        <v>6</v>
      </c>
      <c r="B44">
        <v>3</v>
      </c>
      <c r="C44" t="s">
        <v>24</v>
      </c>
      <c r="D44" s="1">
        <v>26</v>
      </c>
      <c r="E44" s="1">
        <v>49.1</v>
      </c>
    </row>
    <row r="45" spans="1:5" x14ac:dyDescent="0.25">
      <c r="B45">
        <v>3</v>
      </c>
      <c r="C45" t="s">
        <v>24</v>
      </c>
      <c r="D45" s="1">
        <v>26.2</v>
      </c>
      <c r="E45" s="1">
        <v>49.1</v>
      </c>
    </row>
    <row r="46" spans="1:5" x14ac:dyDescent="0.25">
      <c r="B46">
        <v>3</v>
      </c>
      <c r="C46" t="s">
        <v>24</v>
      </c>
      <c r="D46" s="1">
        <v>26.2</v>
      </c>
      <c r="E46" s="1">
        <v>49.1</v>
      </c>
    </row>
    <row r="47" spans="1:5" x14ac:dyDescent="0.25">
      <c r="B47">
        <v>3</v>
      </c>
      <c r="C47" t="s">
        <v>24</v>
      </c>
      <c r="D47" s="3">
        <v>26.2</v>
      </c>
      <c r="E47" s="3">
        <v>48.9</v>
      </c>
    </row>
    <row r="48" spans="1:5" x14ac:dyDescent="0.25">
      <c r="B48">
        <v>3</v>
      </c>
      <c r="C48" t="s">
        <v>24</v>
      </c>
      <c r="D48" s="1">
        <v>26.1</v>
      </c>
      <c r="E48" s="1">
        <v>48.9</v>
      </c>
    </row>
    <row r="49" spans="1:5" x14ac:dyDescent="0.25">
      <c r="B49">
        <v>3</v>
      </c>
      <c r="C49" t="s">
        <v>24</v>
      </c>
      <c r="D49" s="1">
        <v>26.3</v>
      </c>
      <c r="E49" s="1">
        <v>49.1</v>
      </c>
    </row>
    <row r="51" spans="1:5" x14ac:dyDescent="0.25">
      <c r="A51" s="2">
        <v>7</v>
      </c>
      <c r="B51">
        <v>2</v>
      </c>
      <c r="C51" t="s">
        <v>24</v>
      </c>
      <c r="D51" s="1">
        <v>19.899999999999999</v>
      </c>
      <c r="E51" s="1">
        <v>30.8</v>
      </c>
    </row>
    <row r="52" spans="1:5" x14ac:dyDescent="0.25">
      <c r="B52">
        <v>2</v>
      </c>
      <c r="C52" t="s">
        <v>24</v>
      </c>
      <c r="D52" s="1">
        <v>20</v>
      </c>
      <c r="E52" s="1">
        <v>30.4</v>
      </c>
    </row>
    <row r="53" spans="1:5" x14ac:dyDescent="0.25">
      <c r="B53">
        <v>2</v>
      </c>
      <c r="C53" t="s">
        <v>24</v>
      </c>
      <c r="D53" s="1">
        <v>20</v>
      </c>
      <c r="E53" s="1">
        <v>30</v>
      </c>
    </row>
    <row r="54" spans="1:5" x14ac:dyDescent="0.25">
      <c r="B54">
        <v>2</v>
      </c>
      <c r="C54" t="s">
        <v>24</v>
      </c>
      <c r="D54" s="1">
        <v>20.2</v>
      </c>
      <c r="E54" s="1">
        <v>29.8</v>
      </c>
    </row>
    <row r="55" spans="1:5" x14ac:dyDescent="0.25">
      <c r="B55">
        <v>2</v>
      </c>
      <c r="C55" t="s">
        <v>24</v>
      </c>
      <c r="D55" s="1">
        <v>20.2</v>
      </c>
      <c r="E55" s="1">
        <v>29.4</v>
      </c>
    </row>
    <row r="56" spans="1:5" x14ac:dyDescent="0.25">
      <c r="B56">
        <v>2</v>
      </c>
      <c r="C56" t="s">
        <v>24</v>
      </c>
      <c r="D56" s="1">
        <v>20.2</v>
      </c>
      <c r="E56" s="1">
        <v>28.8</v>
      </c>
    </row>
    <row r="57" spans="1:5" x14ac:dyDescent="0.25">
      <c r="B57">
        <v>2</v>
      </c>
      <c r="C57" t="s">
        <v>24</v>
      </c>
      <c r="D57" s="3">
        <v>20.2</v>
      </c>
      <c r="E57" s="3">
        <v>28.6</v>
      </c>
    </row>
    <row r="58" spans="1:5" x14ac:dyDescent="0.25">
      <c r="B58">
        <v>2</v>
      </c>
      <c r="C58" t="s">
        <v>24</v>
      </c>
      <c r="D58" s="1">
        <v>20.2</v>
      </c>
      <c r="E58" s="1">
        <v>28.4</v>
      </c>
    </row>
    <row r="59" spans="1:5" x14ac:dyDescent="0.25">
      <c r="B59">
        <v>2</v>
      </c>
      <c r="C59" t="s">
        <v>24</v>
      </c>
      <c r="D59" s="1">
        <v>20.2</v>
      </c>
      <c r="E59" s="1">
        <v>28.2</v>
      </c>
    </row>
    <row r="60" spans="1:5" x14ac:dyDescent="0.25">
      <c r="B60">
        <v>2</v>
      </c>
      <c r="C60" t="s">
        <v>24</v>
      </c>
      <c r="D60" s="1">
        <v>20</v>
      </c>
      <c r="E60" s="1">
        <v>27.6</v>
      </c>
    </row>
    <row r="62" spans="1:5" x14ac:dyDescent="0.25">
      <c r="A62" s="2">
        <v>8</v>
      </c>
      <c r="B62">
        <v>1.5</v>
      </c>
      <c r="C62" t="s">
        <v>24</v>
      </c>
      <c r="D62" s="1">
        <v>19</v>
      </c>
      <c r="E62" s="1">
        <v>21.9</v>
      </c>
    </row>
    <row r="63" spans="1:5" x14ac:dyDescent="0.25">
      <c r="B63">
        <v>1.5</v>
      </c>
      <c r="C63" t="s">
        <v>24</v>
      </c>
      <c r="D63" s="1">
        <v>19</v>
      </c>
      <c r="E63" s="1">
        <v>22.5</v>
      </c>
    </row>
    <row r="64" spans="1:5" x14ac:dyDescent="0.25">
      <c r="B64">
        <v>1.5</v>
      </c>
      <c r="C64" t="s">
        <v>24</v>
      </c>
      <c r="D64" s="1">
        <v>18.8</v>
      </c>
      <c r="E64" s="1">
        <v>22.5</v>
      </c>
    </row>
    <row r="65" spans="1:5" x14ac:dyDescent="0.25">
      <c r="B65">
        <v>1.5</v>
      </c>
      <c r="C65" t="s">
        <v>24</v>
      </c>
      <c r="D65" s="1">
        <v>19.2</v>
      </c>
      <c r="E65" s="1">
        <v>23.1</v>
      </c>
    </row>
    <row r="66" spans="1:5" x14ac:dyDescent="0.25">
      <c r="B66">
        <v>1.5</v>
      </c>
      <c r="C66" t="s">
        <v>24</v>
      </c>
      <c r="D66" s="1">
        <v>18.899999999999999</v>
      </c>
      <c r="E66" s="1">
        <v>22.7</v>
      </c>
    </row>
    <row r="67" spans="1:5" x14ac:dyDescent="0.25">
      <c r="B67">
        <v>1.5</v>
      </c>
      <c r="C67" t="s">
        <v>24</v>
      </c>
      <c r="D67" s="1">
        <v>18.7</v>
      </c>
      <c r="E67" s="1">
        <v>22.7</v>
      </c>
    </row>
    <row r="68" spans="1:5" x14ac:dyDescent="0.25">
      <c r="B68">
        <v>1.5</v>
      </c>
      <c r="C68" t="s">
        <v>24</v>
      </c>
      <c r="D68" s="1">
        <v>18.600000000000001</v>
      </c>
      <c r="E68" s="1">
        <v>22.9</v>
      </c>
    </row>
    <row r="69" spans="1:5" x14ac:dyDescent="0.25">
      <c r="B69">
        <v>1.5</v>
      </c>
      <c r="C69" t="s">
        <v>24</v>
      </c>
      <c r="D69" s="3">
        <v>18.600000000000001</v>
      </c>
      <c r="E69" s="3">
        <v>22.7</v>
      </c>
    </row>
    <row r="70" spans="1:5" x14ac:dyDescent="0.25">
      <c r="B70">
        <v>1.5</v>
      </c>
      <c r="C70" t="s">
        <v>24</v>
      </c>
      <c r="D70" s="1">
        <v>18.5</v>
      </c>
      <c r="E70" s="1">
        <v>22.7</v>
      </c>
    </row>
    <row r="71" spans="1:5" x14ac:dyDescent="0.25">
      <c r="B71">
        <v>1.5</v>
      </c>
      <c r="C71" t="s">
        <v>24</v>
      </c>
      <c r="D71" s="1">
        <v>18.7</v>
      </c>
      <c r="E71" s="1">
        <v>22.9</v>
      </c>
    </row>
    <row r="72" spans="1:5" x14ac:dyDescent="0.25">
      <c r="B72">
        <v>1.5</v>
      </c>
      <c r="C72" t="s">
        <v>24</v>
      </c>
      <c r="D72" s="1">
        <v>18.5</v>
      </c>
      <c r="E72" s="1">
        <v>22.5</v>
      </c>
    </row>
    <row r="74" spans="1:5" x14ac:dyDescent="0.25">
      <c r="A74" s="2">
        <v>9</v>
      </c>
      <c r="B74">
        <v>1</v>
      </c>
      <c r="C74" t="s">
        <v>27</v>
      </c>
      <c r="D74" s="1">
        <v>17.8</v>
      </c>
      <c r="E74" s="1">
        <v>0.4</v>
      </c>
    </row>
    <row r="75" spans="1:5" x14ac:dyDescent="0.25">
      <c r="B75">
        <v>1</v>
      </c>
      <c r="C75" t="s">
        <v>27</v>
      </c>
      <c r="D75" s="1">
        <v>17.7</v>
      </c>
      <c r="E75" s="1">
        <v>0.4</v>
      </c>
    </row>
    <row r="76" spans="1:5" x14ac:dyDescent="0.25">
      <c r="B76">
        <v>1</v>
      </c>
      <c r="C76" t="s">
        <v>27</v>
      </c>
      <c r="D76" s="1">
        <v>17.5</v>
      </c>
      <c r="E76" s="1">
        <v>0.4</v>
      </c>
    </row>
    <row r="77" spans="1:5" x14ac:dyDescent="0.25">
      <c r="B77">
        <v>1</v>
      </c>
      <c r="C77" t="s">
        <v>27</v>
      </c>
      <c r="D77" s="1">
        <v>17.600000000000001</v>
      </c>
      <c r="E77" s="1">
        <v>0.38</v>
      </c>
    </row>
    <row r="78" spans="1:5" x14ac:dyDescent="0.25">
      <c r="B78">
        <v>1</v>
      </c>
      <c r="C78" t="s">
        <v>27</v>
      </c>
      <c r="D78" s="1">
        <v>17.3</v>
      </c>
      <c r="E78" s="1">
        <v>0.38</v>
      </c>
    </row>
    <row r="79" spans="1:5" x14ac:dyDescent="0.25">
      <c r="B79">
        <v>1</v>
      </c>
      <c r="C79" t="s">
        <v>27</v>
      </c>
      <c r="D79" s="1">
        <v>17.5</v>
      </c>
      <c r="E79" s="1">
        <v>0.38</v>
      </c>
    </row>
    <row r="80" spans="1:5" x14ac:dyDescent="0.25">
      <c r="B80">
        <v>1</v>
      </c>
      <c r="C80" t="s">
        <v>27</v>
      </c>
      <c r="D80" s="1">
        <v>17.399999999999999</v>
      </c>
      <c r="E80" s="1">
        <v>0.38</v>
      </c>
    </row>
    <row r="81" spans="1:5" x14ac:dyDescent="0.25">
      <c r="B81">
        <v>1</v>
      </c>
      <c r="C81" t="s">
        <v>27</v>
      </c>
      <c r="D81" s="1">
        <v>17.600000000000001</v>
      </c>
      <c r="E81" s="1">
        <v>0.38</v>
      </c>
    </row>
    <row r="82" spans="1:5" x14ac:dyDescent="0.25">
      <c r="B82">
        <v>1</v>
      </c>
      <c r="C82" t="s">
        <v>27</v>
      </c>
      <c r="D82" s="3">
        <v>17.399999999999999</v>
      </c>
      <c r="E82" s="3">
        <v>0.38</v>
      </c>
    </row>
    <row r="83" spans="1:5" x14ac:dyDescent="0.25">
      <c r="B83">
        <v>1</v>
      </c>
      <c r="C83" t="s">
        <v>27</v>
      </c>
      <c r="D83" s="1">
        <v>17.2</v>
      </c>
      <c r="E83" s="1">
        <v>0.38</v>
      </c>
    </row>
    <row r="84" spans="1:5" x14ac:dyDescent="0.25">
      <c r="B84">
        <v>1</v>
      </c>
      <c r="C84" t="s">
        <v>27</v>
      </c>
      <c r="D84" s="1">
        <v>17</v>
      </c>
      <c r="E84" s="1">
        <v>0.38</v>
      </c>
    </row>
    <row r="85" spans="1:5" x14ac:dyDescent="0.25">
      <c r="B85">
        <v>1</v>
      </c>
      <c r="C85" t="s">
        <v>27</v>
      </c>
      <c r="D85" s="1">
        <v>17</v>
      </c>
      <c r="E85" s="1">
        <v>0.38</v>
      </c>
    </row>
    <row r="86" spans="1:5" x14ac:dyDescent="0.25">
      <c r="B86">
        <v>1</v>
      </c>
      <c r="C86" t="s">
        <v>27</v>
      </c>
      <c r="D86" s="1">
        <v>16.8</v>
      </c>
      <c r="E86" s="1">
        <v>0.38</v>
      </c>
    </row>
    <row r="87" spans="1:5" x14ac:dyDescent="0.25">
      <c r="B87">
        <v>1</v>
      </c>
      <c r="C87" t="s">
        <v>27</v>
      </c>
      <c r="D87" s="1">
        <v>16.8</v>
      </c>
      <c r="E87" s="1">
        <v>0.36</v>
      </c>
    </row>
    <row r="88" spans="1:5" x14ac:dyDescent="0.25">
      <c r="B88">
        <v>1</v>
      </c>
      <c r="C88" t="s">
        <v>27</v>
      </c>
      <c r="D88" s="1">
        <v>16.899999999999999</v>
      </c>
      <c r="E88" s="1">
        <v>0.38</v>
      </c>
    </row>
    <row r="89" spans="1:5" x14ac:dyDescent="0.25">
      <c r="B89">
        <v>1</v>
      </c>
      <c r="C89" t="s">
        <v>27</v>
      </c>
      <c r="D89" s="1">
        <v>16.899999999999999</v>
      </c>
      <c r="E89" s="1">
        <v>0.38</v>
      </c>
    </row>
    <row r="90" spans="1:5" x14ac:dyDescent="0.25">
      <c r="B90">
        <v>1</v>
      </c>
      <c r="C90" t="s">
        <v>27</v>
      </c>
      <c r="D90" s="1">
        <v>16.7</v>
      </c>
      <c r="E90" s="1">
        <v>0.38</v>
      </c>
    </row>
    <row r="92" spans="1:5" x14ac:dyDescent="0.25">
      <c r="A92" s="2">
        <v>10</v>
      </c>
      <c r="B92">
        <v>2</v>
      </c>
      <c r="C92" t="s">
        <v>27</v>
      </c>
      <c r="D92" s="1">
        <v>23.3</v>
      </c>
      <c r="E92" s="1">
        <v>0.56000000000000005</v>
      </c>
    </row>
    <row r="93" spans="1:5" x14ac:dyDescent="0.25">
      <c r="B93">
        <v>2</v>
      </c>
      <c r="C93" t="s">
        <v>27</v>
      </c>
      <c r="D93" s="1">
        <v>23.4</v>
      </c>
      <c r="E93" s="1">
        <v>0.56000000000000005</v>
      </c>
    </row>
    <row r="94" spans="1:5" x14ac:dyDescent="0.25">
      <c r="B94">
        <v>2</v>
      </c>
      <c r="C94" t="s">
        <v>27</v>
      </c>
      <c r="D94" s="1">
        <v>23.2</v>
      </c>
      <c r="E94" s="1">
        <v>0.56000000000000005</v>
      </c>
    </row>
    <row r="95" spans="1:5" x14ac:dyDescent="0.25">
      <c r="B95">
        <v>2</v>
      </c>
      <c r="C95" t="s">
        <v>27</v>
      </c>
      <c r="D95" s="1">
        <v>23.3</v>
      </c>
      <c r="E95" s="1">
        <v>0.56000000000000005</v>
      </c>
    </row>
    <row r="96" spans="1:5" x14ac:dyDescent="0.25">
      <c r="B96">
        <v>2</v>
      </c>
      <c r="C96" t="s">
        <v>27</v>
      </c>
      <c r="D96" s="1">
        <v>23.2</v>
      </c>
      <c r="E96" s="1">
        <v>0.57999999999999996</v>
      </c>
    </row>
    <row r="97" spans="2:5" x14ac:dyDescent="0.25">
      <c r="B97">
        <v>2</v>
      </c>
      <c r="C97" t="s">
        <v>27</v>
      </c>
      <c r="D97" s="1">
        <v>23.2</v>
      </c>
      <c r="E97" s="1">
        <v>0.57999999999999996</v>
      </c>
    </row>
    <row r="98" spans="2:5" x14ac:dyDescent="0.25">
      <c r="B98">
        <v>2</v>
      </c>
      <c r="C98" t="s">
        <v>27</v>
      </c>
      <c r="D98" s="1">
        <v>23</v>
      </c>
      <c r="E98" s="1">
        <v>0.56000000000000005</v>
      </c>
    </row>
    <row r="99" spans="2:5" x14ac:dyDescent="0.25">
      <c r="B99">
        <v>2</v>
      </c>
      <c r="C99" t="s">
        <v>27</v>
      </c>
      <c r="D99" s="1">
        <v>23</v>
      </c>
      <c r="E99" s="1">
        <v>0.56000000000000005</v>
      </c>
    </row>
    <row r="100" spans="2:5" x14ac:dyDescent="0.25">
      <c r="B100">
        <v>2</v>
      </c>
      <c r="C100" t="s">
        <v>27</v>
      </c>
      <c r="D100" s="1">
        <v>23</v>
      </c>
      <c r="E100" s="1">
        <v>0.57999999999999996</v>
      </c>
    </row>
    <row r="101" spans="2:5" x14ac:dyDescent="0.25">
      <c r="B101">
        <v>2</v>
      </c>
      <c r="C101" t="s">
        <v>27</v>
      </c>
      <c r="D101" s="1">
        <v>23</v>
      </c>
      <c r="E101" s="1">
        <v>0.56000000000000005</v>
      </c>
    </row>
    <row r="102" spans="2:5" x14ac:dyDescent="0.25">
      <c r="B102">
        <v>2</v>
      </c>
      <c r="C102" t="s">
        <v>27</v>
      </c>
      <c r="D102" s="3">
        <v>23</v>
      </c>
      <c r="E102" s="3">
        <v>0.57999999999999996</v>
      </c>
    </row>
    <row r="103" spans="2:5" x14ac:dyDescent="0.25">
      <c r="B103">
        <v>2</v>
      </c>
      <c r="C103" t="s">
        <v>27</v>
      </c>
      <c r="D103" s="1">
        <v>23</v>
      </c>
      <c r="E103" s="1">
        <v>0.57999999999999996</v>
      </c>
    </row>
    <row r="104" spans="2:5" x14ac:dyDescent="0.25">
      <c r="B104">
        <v>2</v>
      </c>
      <c r="C104" t="s">
        <v>27</v>
      </c>
      <c r="D104" s="1">
        <v>23</v>
      </c>
      <c r="E104" s="1">
        <v>0.57999999999999996</v>
      </c>
    </row>
    <row r="105" spans="2:5" x14ac:dyDescent="0.25">
      <c r="B105">
        <v>2</v>
      </c>
      <c r="C105" t="s">
        <v>27</v>
      </c>
      <c r="D105" s="1">
        <v>23</v>
      </c>
      <c r="E105" s="1">
        <v>0.57999999999999996</v>
      </c>
    </row>
    <row r="106" spans="2:5" x14ac:dyDescent="0.25">
      <c r="B106">
        <v>2</v>
      </c>
      <c r="C106" t="s">
        <v>27</v>
      </c>
      <c r="D106" s="1">
        <v>23</v>
      </c>
      <c r="E106" s="1">
        <v>0.57999999999999996</v>
      </c>
    </row>
    <row r="107" spans="2:5" x14ac:dyDescent="0.25">
      <c r="B107">
        <v>2</v>
      </c>
      <c r="C107" t="s">
        <v>27</v>
      </c>
      <c r="D107" s="1">
        <v>23</v>
      </c>
      <c r="E107" s="1">
        <v>0.57999999999999996</v>
      </c>
    </row>
    <row r="108" spans="2:5" x14ac:dyDescent="0.25">
      <c r="B108">
        <v>2</v>
      </c>
      <c r="C108" t="s">
        <v>27</v>
      </c>
      <c r="D108" s="1">
        <v>22.9</v>
      </c>
      <c r="E108" s="1">
        <v>0.57999999999999996</v>
      </c>
    </row>
    <row r="109" spans="2:5" x14ac:dyDescent="0.25">
      <c r="B109">
        <v>2</v>
      </c>
      <c r="C109" t="s">
        <v>27</v>
      </c>
      <c r="D109" s="1">
        <v>22.9</v>
      </c>
      <c r="E109" s="1">
        <v>0.57999999999999996</v>
      </c>
    </row>
    <row r="110" spans="2:5" x14ac:dyDescent="0.25">
      <c r="B110">
        <v>2</v>
      </c>
      <c r="C110" t="s">
        <v>27</v>
      </c>
      <c r="D110" s="1">
        <v>22.9</v>
      </c>
      <c r="E110" s="1">
        <v>0.57999999999999996</v>
      </c>
    </row>
    <row r="111" spans="2:5" x14ac:dyDescent="0.25">
      <c r="B111">
        <v>2</v>
      </c>
      <c r="C111" t="s">
        <v>27</v>
      </c>
      <c r="D111" s="1">
        <v>22.8</v>
      </c>
      <c r="E111" s="1">
        <v>0.57999999999999996</v>
      </c>
    </row>
    <row r="113" spans="1:5" x14ac:dyDescent="0.25">
      <c r="A113" s="2">
        <v>11</v>
      </c>
      <c r="B113">
        <v>3</v>
      </c>
      <c r="C113" t="s">
        <v>27</v>
      </c>
      <c r="D113" s="1">
        <v>30</v>
      </c>
      <c r="E113" s="1">
        <v>8.4</v>
      </c>
    </row>
    <row r="114" spans="1:5" x14ac:dyDescent="0.25">
      <c r="B114">
        <v>3</v>
      </c>
      <c r="C114" t="s">
        <v>27</v>
      </c>
      <c r="D114" s="1">
        <v>30</v>
      </c>
      <c r="E114" s="1">
        <v>8.6</v>
      </c>
    </row>
    <row r="115" spans="1:5" x14ac:dyDescent="0.25">
      <c r="B115">
        <v>3</v>
      </c>
      <c r="C115" t="s">
        <v>27</v>
      </c>
      <c r="D115" s="1">
        <v>29.9</v>
      </c>
      <c r="E115" s="1">
        <v>8.6</v>
      </c>
    </row>
    <row r="116" spans="1:5" x14ac:dyDescent="0.25">
      <c r="B116">
        <v>3</v>
      </c>
      <c r="C116" t="s">
        <v>27</v>
      </c>
      <c r="D116" s="1">
        <v>30</v>
      </c>
      <c r="E116" s="1">
        <v>8.6</v>
      </c>
    </row>
    <row r="117" spans="1:5" x14ac:dyDescent="0.25">
      <c r="B117">
        <v>3</v>
      </c>
      <c r="C117" t="s">
        <v>27</v>
      </c>
      <c r="D117" s="3">
        <v>30</v>
      </c>
      <c r="E117" s="3">
        <v>8.6</v>
      </c>
    </row>
    <row r="118" spans="1:5" x14ac:dyDescent="0.25">
      <c r="B118">
        <v>3</v>
      </c>
      <c r="C118" t="s">
        <v>27</v>
      </c>
      <c r="D118" s="1">
        <v>30</v>
      </c>
      <c r="E118" s="1">
        <v>8.6</v>
      </c>
    </row>
    <row r="119" spans="1:5" x14ac:dyDescent="0.25">
      <c r="B119">
        <v>3</v>
      </c>
      <c r="C119" t="s">
        <v>27</v>
      </c>
      <c r="D119" s="1">
        <v>30.1</v>
      </c>
      <c r="E119" s="1">
        <v>8.6</v>
      </c>
    </row>
    <row r="120" spans="1:5" x14ac:dyDescent="0.25">
      <c r="B120">
        <v>3</v>
      </c>
      <c r="C120" t="s">
        <v>27</v>
      </c>
      <c r="D120" s="1">
        <v>30.2</v>
      </c>
      <c r="E120" s="1">
        <v>8.8000000000000007</v>
      </c>
    </row>
    <row r="121" spans="1:5" x14ac:dyDescent="0.25">
      <c r="B121">
        <v>3</v>
      </c>
      <c r="C121" t="s">
        <v>27</v>
      </c>
      <c r="D121" s="1">
        <v>30.1</v>
      </c>
      <c r="E121" s="1">
        <v>8.8000000000000007</v>
      </c>
    </row>
    <row r="122" spans="1:5" x14ac:dyDescent="0.25">
      <c r="B122">
        <v>3</v>
      </c>
      <c r="C122" t="s">
        <v>27</v>
      </c>
      <c r="D122" s="1">
        <v>30.2</v>
      </c>
      <c r="E122" s="1">
        <v>8.8000000000000007</v>
      </c>
    </row>
    <row r="123" spans="1:5" x14ac:dyDescent="0.25">
      <c r="B123">
        <v>3</v>
      </c>
      <c r="C123" t="s">
        <v>27</v>
      </c>
      <c r="D123" s="1">
        <v>30.2</v>
      </c>
      <c r="E123" s="1">
        <v>8.8000000000000007</v>
      </c>
    </row>
    <row r="124" spans="1:5" x14ac:dyDescent="0.25">
      <c r="B124">
        <v>3</v>
      </c>
      <c r="C124" t="s">
        <v>27</v>
      </c>
      <c r="D124" s="1">
        <v>30</v>
      </c>
      <c r="E124" s="1">
        <v>8.8000000000000007</v>
      </c>
    </row>
    <row r="125" spans="1:5" x14ac:dyDescent="0.25">
      <c r="B125">
        <v>3</v>
      </c>
      <c r="C125" t="s">
        <v>27</v>
      </c>
      <c r="D125" s="1">
        <v>30</v>
      </c>
      <c r="E125" s="1">
        <v>8.8000000000000007</v>
      </c>
    </row>
    <row r="127" spans="1:5" x14ac:dyDescent="0.25">
      <c r="A127" s="2">
        <v>12</v>
      </c>
      <c r="B127">
        <v>4</v>
      </c>
      <c r="C127" t="s">
        <v>27</v>
      </c>
      <c r="D127" s="1">
        <v>34.5</v>
      </c>
      <c r="E127" s="1">
        <v>11</v>
      </c>
    </row>
    <row r="128" spans="1:5" x14ac:dyDescent="0.25">
      <c r="B128">
        <v>4</v>
      </c>
      <c r="C128" t="s">
        <v>27</v>
      </c>
      <c r="D128" s="1">
        <v>34.299999999999997</v>
      </c>
      <c r="E128" s="1">
        <v>11</v>
      </c>
    </row>
    <row r="129" spans="1:5" x14ac:dyDescent="0.25">
      <c r="B129">
        <v>4</v>
      </c>
      <c r="C129" t="s">
        <v>27</v>
      </c>
      <c r="D129" s="3">
        <v>34.4</v>
      </c>
      <c r="E129" s="3">
        <v>11</v>
      </c>
    </row>
    <row r="130" spans="1:5" x14ac:dyDescent="0.25">
      <c r="B130">
        <v>4</v>
      </c>
      <c r="C130" t="s">
        <v>27</v>
      </c>
      <c r="D130" s="1">
        <v>34.299999999999997</v>
      </c>
      <c r="E130" s="1">
        <v>11</v>
      </c>
    </row>
    <row r="131" spans="1:5" x14ac:dyDescent="0.25">
      <c r="B131">
        <v>4</v>
      </c>
      <c r="C131" t="s">
        <v>27</v>
      </c>
      <c r="D131" s="1">
        <v>34.299999999999997</v>
      </c>
      <c r="E131" s="1">
        <v>11</v>
      </c>
    </row>
    <row r="132" spans="1:5" x14ac:dyDescent="0.25">
      <c r="B132">
        <v>4</v>
      </c>
      <c r="C132" t="s">
        <v>27</v>
      </c>
      <c r="D132" s="1">
        <v>34.299999999999997</v>
      </c>
      <c r="E132" s="1">
        <v>11</v>
      </c>
    </row>
    <row r="133" spans="1:5" x14ac:dyDescent="0.25">
      <c r="B133">
        <v>4</v>
      </c>
      <c r="C133" t="s">
        <v>27</v>
      </c>
      <c r="D133" s="1">
        <v>34.4</v>
      </c>
      <c r="E133" s="1">
        <v>11</v>
      </c>
    </row>
    <row r="134" spans="1:5" x14ac:dyDescent="0.25">
      <c r="B134">
        <v>4</v>
      </c>
      <c r="C134" t="s">
        <v>27</v>
      </c>
      <c r="D134" s="1">
        <v>34.299999999999997</v>
      </c>
      <c r="E134" s="1">
        <v>11</v>
      </c>
    </row>
    <row r="136" spans="1:5" x14ac:dyDescent="0.25">
      <c r="A136" s="2">
        <v>13</v>
      </c>
      <c r="B136">
        <v>4</v>
      </c>
      <c r="C136" t="s">
        <v>28</v>
      </c>
      <c r="D136" s="1">
        <v>32.6</v>
      </c>
      <c r="E136" s="1">
        <v>35.799999999999997</v>
      </c>
    </row>
    <row r="137" spans="1:5" x14ac:dyDescent="0.25">
      <c r="B137">
        <v>4</v>
      </c>
      <c r="C137" t="s">
        <v>28</v>
      </c>
      <c r="D137" s="1">
        <v>32.6</v>
      </c>
      <c r="E137" s="1">
        <v>35</v>
      </c>
    </row>
    <row r="138" spans="1:5" x14ac:dyDescent="0.25">
      <c r="B138">
        <v>4</v>
      </c>
      <c r="C138" t="s">
        <v>28</v>
      </c>
      <c r="D138" s="3">
        <v>32.799999999999997</v>
      </c>
      <c r="E138" s="3">
        <v>34.6</v>
      </c>
    </row>
    <row r="139" spans="1:5" x14ac:dyDescent="0.25">
      <c r="B139">
        <v>4</v>
      </c>
      <c r="C139" t="s">
        <v>28</v>
      </c>
      <c r="D139" s="1">
        <v>32.9</v>
      </c>
      <c r="E139" s="1">
        <v>34.6</v>
      </c>
    </row>
    <row r="140" spans="1:5" x14ac:dyDescent="0.25">
      <c r="B140">
        <v>4</v>
      </c>
      <c r="C140" t="s">
        <v>28</v>
      </c>
      <c r="D140" s="1">
        <v>32.799999999999997</v>
      </c>
      <c r="E140" s="1">
        <v>34.4</v>
      </c>
    </row>
    <row r="141" spans="1:5" x14ac:dyDescent="0.25">
      <c r="B141">
        <v>4</v>
      </c>
      <c r="C141" t="s">
        <v>28</v>
      </c>
      <c r="D141" s="1">
        <v>28.3</v>
      </c>
      <c r="E141" s="1">
        <v>33.4</v>
      </c>
    </row>
    <row r="143" spans="1:5" x14ac:dyDescent="0.25">
      <c r="A143" s="2">
        <v>14</v>
      </c>
      <c r="B143">
        <v>3</v>
      </c>
      <c r="C143" t="s">
        <v>28</v>
      </c>
      <c r="D143" s="1">
        <v>28.1</v>
      </c>
      <c r="E143" s="1">
        <v>33.200000000000003</v>
      </c>
    </row>
    <row r="144" spans="1:5" x14ac:dyDescent="0.25">
      <c r="B144">
        <v>3</v>
      </c>
      <c r="C144" t="s">
        <v>28</v>
      </c>
      <c r="D144" s="1">
        <v>28</v>
      </c>
      <c r="E144" s="1">
        <v>33</v>
      </c>
    </row>
    <row r="145" spans="1:5" x14ac:dyDescent="0.25">
      <c r="B145">
        <v>3</v>
      </c>
      <c r="C145" t="s">
        <v>28</v>
      </c>
      <c r="D145" s="1">
        <v>28.2</v>
      </c>
      <c r="E145" s="1">
        <v>33</v>
      </c>
    </row>
    <row r="146" spans="1:5" x14ac:dyDescent="0.25">
      <c r="B146">
        <v>33</v>
      </c>
      <c r="C146" t="s">
        <v>28</v>
      </c>
      <c r="D146" s="3">
        <v>28.1</v>
      </c>
      <c r="E146" s="3">
        <v>33</v>
      </c>
    </row>
    <row r="148" spans="1:5" x14ac:dyDescent="0.25">
      <c r="A148" s="2">
        <v>15</v>
      </c>
      <c r="B148">
        <v>2</v>
      </c>
      <c r="C148" t="s">
        <v>28</v>
      </c>
      <c r="D148" s="1">
        <v>20.8</v>
      </c>
      <c r="E148" s="1">
        <v>23.7</v>
      </c>
    </row>
    <row r="149" spans="1:5" x14ac:dyDescent="0.25">
      <c r="B149">
        <v>2</v>
      </c>
      <c r="C149" t="s">
        <v>28</v>
      </c>
      <c r="D149" s="1">
        <v>20.8</v>
      </c>
      <c r="E149" s="1">
        <v>22.9</v>
      </c>
    </row>
    <row r="150" spans="1:5" x14ac:dyDescent="0.25">
      <c r="B150">
        <v>2</v>
      </c>
      <c r="C150" t="s">
        <v>28</v>
      </c>
      <c r="D150" s="1">
        <v>20.7</v>
      </c>
      <c r="E150" s="1">
        <v>22.3</v>
      </c>
    </row>
    <row r="151" spans="1:5" x14ac:dyDescent="0.25">
      <c r="B151">
        <v>2</v>
      </c>
      <c r="C151" t="s">
        <v>28</v>
      </c>
      <c r="D151" s="1">
        <v>20.8</v>
      </c>
      <c r="E151" s="1">
        <v>21.9</v>
      </c>
    </row>
    <row r="152" spans="1:5" x14ac:dyDescent="0.25">
      <c r="B152">
        <v>2</v>
      </c>
      <c r="C152" t="s">
        <v>28</v>
      </c>
      <c r="D152" s="1">
        <v>20.7</v>
      </c>
      <c r="E152" s="1">
        <v>21.1</v>
      </c>
    </row>
    <row r="153" spans="1:5" x14ac:dyDescent="0.25">
      <c r="B153">
        <v>2</v>
      </c>
      <c r="C153" t="s">
        <v>28</v>
      </c>
      <c r="D153" s="3">
        <v>20.7</v>
      </c>
      <c r="E153" s="3">
        <v>20.9</v>
      </c>
    </row>
    <row r="154" spans="1:5" x14ac:dyDescent="0.25">
      <c r="B154">
        <v>2</v>
      </c>
      <c r="C154" t="s">
        <v>28</v>
      </c>
      <c r="D154" s="1">
        <v>20.5</v>
      </c>
      <c r="E154" s="1">
        <v>20.5</v>
      </c>
    </row>
    <row r="155" spans="1:5" x14ac:dyDescent="0.25">
      <c r="B155">
        <v>2</v>
      </c>
      <c r="C155" t="s">
        <v>28</v>
      </c>
      <c r="D155" s="1">
        <v>20.7</v>
      </c>
      <c r="E155" s="1">
        <v>20.3</v>
      </c>
    </row>
    <row r="156" spans="1:5" x14ac:dyDescent="0.25">
      <c r="B156">
        <v>2</v>
      </c>
      <c r="C156" t="s">
        <v>28</v>
      </c>
      <c r="D156" s="1">
        <v>20.6</v>
      </c>
      <c r="E156" s="1">
        <v>20.100000000000001</v>
      </c>
    </row>
    <row r="157" spans="1:5" x14ac:dyDescent="0.25">
      <c r="B157">
        <v>2</v>
      </c>
      <c r="C157" t="s">
        <v>28</v>
      </c>
      <c r="D157" s="1">
        <v>20.7</v>
      </c>
      <c r="E157" s="1">
        <v>19.899999999999999</v>
      </c>
    </row>
    <row r="159" spans="1:5" x14ac:dyDescent="0.25">
      <c r="A159" s="2">
        <v>16</v>
      </c>
      <c r="B159">
        <v>1.5</v>
      </c>
      <c r="C159" t="s">
        <v>28</v>
      </c>
      <c r="D159" s="1">
        <v>16.399999999999999</v>
      </c>
      <c r="E159" s="1">
        <v>12.9</v>
      </c>
    </row>
    <row r="160" spans="1:5" x14ac:dyDescent="0.25">
      <c r="B160">
        <v>1.5</v>
      </c>
      <c r="C160" t="s">
        <v>28</v>
      </c>
      <c r="D160" s="1">
        <v>16.600000000000001</v>
      </c>
      <c r="E160" s="1">
        <v>12.9</v>
      </c>
    </row>
    <row r="161" spans="1:5" x14ac:dyDescent="0.25">
      <c r="B161">
        <v>1.5</v>
      </c>
      <c r="C161" t="s">
        <v>28</v>
      </c>
      <c r="D161" s="1">
        <v>16.399999999999999</v>
      </c>
      <c r="E161" s="1">
        <v>12.7</v>
      </c>
    </row>
    <row r="162" spans="1:5" x14ac:dyDescent="0.25">
      <c r="B162">
        <v>1.5</v>
      </c>
      <c r="C162" t="s">
        <v>28</v>
      </c>
      <c r="D162" s="1">
        <v>16.399999999999999</v>
      </c>
      <c r="E162" s="1">
        <v>12.7</v>
      </c>
    </row>
    <row r="163" spans="1:5" x14ac:dyDescent="0.25">
      <c r="B163">
        <v>1.5</v>
      </c>
      <c r="C163" t="s">
        <v>28</v>
      </c>
      <c r="D163" s="1">
        <v>16.3</v>
      </c>
      <c r="E163" s="1">
        <v>12.7</v>
      </c>
    </row>
    <row r="164" spans="1:5" x14ac:dyDescent="0.25">
      <c r="B164">
        <v>1.5</v>
      </c>
      <c r="C164" t="s">
        <v>28</v>
      </c>
      <c r="D164" s="3">
        <v>16.399999999999999</v>
      </c>
      <c r="E164" s="3">
        <v>12.7</v>
      </c>
    </row>
    <row r="165" spans="1:5" x14ac:dyDescent="0.25">
      <c r="B165">
        <v>1.5</v>
      </c>
      <c r="C165" t="s">
        <v>28</v>
      </c>
      <c r="D165" s="1">
        <v>16.5</v>
      </c>
      <c r="E165" s="1">
        <v>12.7</v>
      </c>
    </row>
    <row r="166" spans="1:5" x14ac:dyDescent="0.25">
      <c r="B166">
        <v>1.5</v>
      </c>
      <c r="C166" t="s">
        <v>28</v>
      </c>
      <c r="D166" s="1">
        <v>16.3</v>
      </c>
      <c r="E166" s="1">
        <v>12.7</v>
      </c>
    </row>
    <row r="167" spans="1:5" x14ac:dyDescent="0.25">
      <c r="B167">
        <v>1.5</v>
      </c>
      <c r="C167" t="s">
        <v>28</v>
      </c>
      <c r="D167" s="1">
        <v>16.399999999999999</v>
      </c>
      <c r="E167" s="1">
        <v>12.7</v>
      </c>
    </row>
    <row r="168" spans="1:5" x14ac:dyDescent="0.25">
      <c r="B168">
        <v>1.5</v>
      </c>
      <c r="C168" t="s">
        <v>28</v>
      </c>
      <c r="D168" s="1">
        <v>16.399999999999999</v>
      </c>
      <c r="E168" s="1">
        <v>12.5</v>
      </c>
    </row>
    <row r="169" spans="1:5" x14ac:dyDescent="0.25">
      <c r="B169">
        <v>1.5</v>
      </c>
      <c r="C169" t="s">
        <v>28</v>
      </c>
      <c r="D169" s="1">
        <v>16.399999999999999</v>
      </c>
      <c r="E169" s="1">
        <v>12.5</v>
      </c>
    </row>
    <row r="170" spans="1:5" x14ac:dyDescent="0.25">
      <c r="B170">
        <v>1.5</v>
      </c>
      <c r="C170" t="s">
        <v>28</v>
      </c>
      <c r="D170" s="1">
        <v>16.3</v>
      </c>
      <c r="E170" s="1">
        <v>12.5</v>
      </c>
    </row>
    <row r="171" spans="1:5" x14ac:dyDescent="0.25">
      <c r="B171">
        <v>1.5</v>
      </c>
      <c r="C171" t="s">
        <v>28</v>
      </c>
      <c r="D171" s="1">
        <v>16.399999999999999</v>
      </c>
      <c r="E171" s="1">
        <v>12.5</v>
      </c>
    </row>
    <row r="172" spans="1:5" x14ac:dyDescent="0.25">
      <c r="B172">
        <v>1.5</v>
      </c>
      <c r="C172" t="s">
        <v>28</v>
      </c>
      <c r="D172" s="1">
        <v>16.3</v>
      </c>
      <c r="E172" s="1">
        <v>12.5</v>
      </c>
    </row>
    <row r="173" spans="1:5" x14ac:dyDescent="0.25">
      <c r="B173">
        <v>1.5</v>
      </c>
      <c r="C173" t="s">
        <v>28</v>
      </c>
      <c r="D173" s="1">
        <v>16.5</v>
      </c>
      <c r="E173" s="1">
        <v>12.7</v>
      </c>
    </row>
    <row r="174" spans="1:5" x14ac:dyDescent="0.25">
      <c r="B174">
        <v>1.5</v>
      </c>
      <c r="C174" t="s">
        <v>28</v>
      </c>
      <c r="D174" s="1">
        <v>16.399999999999999</v>
      </c>
      <c r="E174" s="1">
        <v>12.5</v>
      </c>
    </row>
    <row r="176" spans="1:5" x14ac:dyDescent="0.25">
      <c r="A176" s="2">
        <v>17</v>
      </c>
      <c r="B176">
        <v>1.5</v>
      </c>
      <c r="C176" t="s">
        <v>29</v>
      </c>
      <c r="D176" s="1">
        <v>16.399999999999999</v>
      </c>
      <c r="E176" s="1">
        <v>12.5</v>
      </c>
    </row>
    <row r="177" spans="1:5" x14ac:dyDescent="0.25">
      <c r="B177">
        <v>1.5</v>
      </c>
      <c r="C177" t="s">
        <v>29</v>
      </c>
      <c r="D177" s="1">
        <v>16</v>
      </c>
      <c r="E177" s="1">
        <v>12</v>
      </c>
    </row>
    <row r="178" spans="1:5" x14ac:dyDescent="0.25">
      <c r="B178">
        <v>1.5</v>
      </c>
      <c r="C178" t="s">
        <v>29</v>
      </c>
      <c r="D178" s="1">
        <v>15.8</v>
      </c>
      <c r="E178" s="1">
        <v>11.8</v>
      </c>
    </row>
    <row r="179" spans="1:5" x14ac:dyDescent="0.25">
      <c r="B179">
        <v>1.5</v>
      </c>
      <c r="C179" t="s">
        <v>29</v>
      </c>
      <c r="D179" s="1">
        <v>15.8</v>
      </c>
      <c r="E179" s="1">
        <v>11.8</v>
      </c>
    </row>
    <row r="180" spans="1:5" x14ac:dyDescent="0.25">
      <c r="B180">
        <v>1.5</v>
      </c>
      <c r="C180" t="s">
        <v>29</v>
      </c>
      <c r="D180" s="1">
        <v>15.7</v>
      </c>
      <c r="E180" s="1">
        <v>11.8</v>
      </c>
    </row>
    <row r="181" spans="1:5" x14ac:dyDescent="0.25">
      <c r="B181">
        <v>1.5</v>
      </c>
      <c r="C181" t="s">
        <v>29</v>
      </c>
      <c r="D181" s="3">
        <v>15.8</v>
      </c>
      <c r="E181" s="3">
        <v>11.8</v>
      </c>
    </row>
    <row r="182" spans="1:5" x14ac:dyDescent="0.25">
      <c r="B182">
        <v>1.5</v>
      </c>
      <c r="C182" t="s">
        <v>29</v>
      </c>
      <c r="D182" s="1">
        <v>15.6</v>
      </c>
      <c r="E182" s="1">
        <v>11.6</v>
      </c>
    </row>
    <row r="183" spans="1:5" x14ac:dyDescent="0.25">
      <c r="B183">
        <v>1.5</v>
      </c>
      <c r="C183" t="s">
        <v>29</v>
      </c>
      <c r="D183" s="1">
        <v>15.5</v>
      </c>
      <c r="E183" s="1">
        <v>11.6</v>
      </c>
    </row>
    <row r="184" spans="1:5" x14ac:dyDescent="0.25">
      <c r="B184">
        <v>1.5</v>
      </c>
      <c r="C184" t="s">
        <v>29</v>
      </c>
      <c r="D184" s="1">
        <v>15.5</v>
      </c>
      <c r="E184" s="1">
        <v>11.6</v>
      </c>
    </row>
    <row r="185" spans="1:5" x14ac:dyDescent="0.25">
      <c r="B185">
        <v>1.5</v>
      </c>
      <c r="C185" t="s">
        <v>29</v>
      </c>
      <c r="D185" s="1">
        <v>15.5</v>
      </c>
      <c r="E185" s="1">
        <v>11.6</v>
      </c>
    </row>
    <row r="187" spans="1:5" x14ac:dyDescent="0.25">
      <c r="A187" s="2">
        <v>18</v>
      </c>
      <c r="B187">
        <v>2</v>
      </c>
      <c r="C187" t="s">
        <v>29</v>
      </c>
      <c r="D187" s="1">
        <v>21</v>
      </c>
      <c r="E187" s="1">
        <v>20.3</v>
      </c>
    </row>
    <row r="188" spans="1:5" x14ac:dyDescent="0.25">
      <c r="B188">
        <v>2</v>
      </c>
      <c r="C188" t="s">
        <v>29</v>
      </c>
      <c r="D188" s="1">
        <v>21</v>
      </c>
      <c r="E188" s="1">
        <v>20.7</v>
      </c>
    </row>
    <row r="189" spans="1:5" x14ac:dyDescent="0.25">
      <c r="B189">
        <v>2</v>
      </c>
      <c r="C189" t="s">
        <v>29</v>
      </c>
      <c r="D189" s="1">
        <v>20.9</v>
      </c>
      <c r="E189" s="1">
        <v>20.9</v>
      </c>
    </row>
    <row r="190" spans="1:5" x14ac:dyDescent="0.25">
      <c r="B190">
        <v>2</v>
      </c>
      <c r="C190" t="s">
        <v>29</v>
      </c>
      <c r="D190" s="1">
        <v>20.8</v>
      </c>
      <c r="E190" s="1">
        <v>20.9</v>
      </c>
    </row>
    <row r="191" spans="1:5" x14ac:dyDescent="0.25">
      <c r="B191">
        <v>2</v>
      </c>
      <c r="C191" t="s">
        <v>29</v>
      </c>
      <c r="D191" s="1">
        <v>20.9</v>
      </c>
      <c r="E191" s="1">
        <v>21.1</v>
      </c>
    </row>
    <row r="192" spans="1:5" x14ac:dyDescent="0.25">
      <c r="B192">
        <v>2</v>
      </c>
      <c r="C192" t="s">
        <v>29</v>
      </c>
      <c r="D192" s="1">
        <v>21</v>
      </c>
      <c r="E192" s="1">
        <v>21.1</v>
      </c>
    </row>
    <row r="193" spans="1:5" x14ac:dyDescent="0.25">
      <c r="B193">
        <v>2</v>
      </c>
      <c r="C193" t="s">
        <v>29</v>
      </c>
      <c r="D193" s="1">
        <v>21</v>
      </c>
      <c r="E193" s="1">
        <v>21.1</v>
      </c>
    </row>
    <row r="194" spans="1:5" x14ac:dyDescent="0.25">
      <c r="B194">
        <v>2</v>
      </c>
      <c r="C194" t="s">
        <v>29</v>
      </c>
      <c r="D194" s="1">
        <v>20.8</v>
      </c>
      <c r="E194" s="1">
        <v>20.9</v>
      </c>
    </row>
    <row r="195" spans="1:5" x14ac:dyDescent="0.25">
      <c r="B195">
        <v>2</v>
      </c>
      <c r="C195" t="s">
        <v>29</v>
      </c>
      <c r="D195" s="1">
        <v>20.9</v>
      </c>
      <c r="E195" s="1">
        <v>21.1</v>
      </c>
    </row>
    <row r="196" spans="1:5" x14ac:dyDescent="0.25">
      <c r="B196">
        <v>2</v>
      </c>
      <c r="C196" t="s">
        <v>29</v>
      </c>
      <c r="D196" s="1">
        <v>20.9</v>
      </c>
      <c r="E196" s="1">
        <v>20.9</v>
      </c>
    </row>
    <row r="197" spans="1:5" x14ac:dyDescent="0.25">
      <c r="B197">
        <v>2</v>
      </c>
      <c r="C197" t="s">
        <v>29</v>
      </c>
      <c r="D197" s="3">
        <v>20.9</v>
      </c>
      <c r="E197" s="3">
        <v>21.1</v>
      </c>
    </row>
    <row r="198" spans="1:5" x14ac:dyDescent="0.25">
      <c r="B198">
        <v>2</v>
      </c>
      <c r="C198" t="s">
        <v>29</v>
      </c>
      <c r="D198" s="1">
        <v>20.8</v>
      </c>
      <c r="E198" s="1">
        <v>21.1</v>
      </c>
    </row>
    <row r="199" spans="1:5" x14ac:dyDescent="0.25">
      <c r="B199">
        <v>2</v>
      </c>
      <c r="C199" t="s">
        <v>29</v>
      </c>
      <c r="D199" s="1">
        <v>20.9</v>
      </c>
      <c r="E199" s="1">
        <v>21.1</v>
      </c>
    </row>
    <row r="200" spans="1:5" x14ac:dyDescent="0.25">
      <c r="B200">
        <v>2</v>
      </c>
      <c r="C200" t="s">
        <v>29</v>
      </c>
      <c r="D200" s="1">
        <v>20.8</v>
      </c>
      <c r="E200" s="1">
        <v>21.1</v>
      </c>
    </row>
    <row r="201" spans="1:5" x14ac:dyDescent="0.25">
      <c r="B201">
        <v>2</v>
      </c>
      <c r="C201" t="s">
        <v>29</v>
      </c>
      <c r="D201" s="1">
        <v>20.8</v>
      </c>
      <c r="E201" s="1">
        <v>21.1</v>
      </c>
    </row>
    <row r="202" spans="1:5" x14ac:dyDescent="0.25">
      <c r="B202">
        <v>2</v>
      </c>
      <c r="C202" t="s">
        <v>29</v>
      </c>
      <c r="D202" s="1">
        <v>20.8</v>
      </c>
      <c r="E202" s="1">
        <v>21.1</v>
      </c>
    </row>
    <row r="204" spans="1:5" x14ac:dyDescent="0.25">
      <c r="A204" s="2">
        <v>19</v>
      </c>
      <c r="B204">
        <v>3</v>
      </c>
      <c r="C204" t="s">
        <v>29</v>
      </c>
      <c r="D204" s="1">
        <v>28.7</v>
      </c>
      <c r="E204" s="1">
        <v>33.200000000000003</v>
      </c>
    </row>
    <row r="205" spans="1:5" x14ac:dyDescent="0.25">
      <c r="B205">
        <v>3</v>
      </c>
      <c r="C205" t="s">
        <v>29</v>
      </c>
      <c r="D205" s="1">
        <v>28.7</v>
      </c>
      <c r="E205" s="1">
        <v>33</v>
      </c>
    </row>
    <row r="206" spans="1:5" x14ac:dyDescent="0.25">
      <c r="B206">
        <v>3</v>
      </c>
      <c r="C206" t="s">
        <v>29</v>
      </c>
      <c r="D206" s="1">
        <v>29</v>
      </c>
      <c r="E206" s="1">
        <v>32.799999999999997</v>
      </c>
    </row>
    <row r="207" spans="1:5" x14ac:dyDescent="0.25">
      <c r="B207">
        <v>3</v>
      </c>
      <c r="C207" t="s">
        <v>29</v>
      </c>
      <c r="D207" s="3">
        <v>28.9</v>
      </c>
      <c r="E207" s="3">
        <v>32.799999999999997</v>
      </c>
    </row>
    <row r="208" spans="1:5" x14ac:dyDescent="0.25">
      <c r="B208">
        <v>3</v>
      </c>
      <c r="C208" t="s">
        <v>29</v>
      </c>
      <c r="D208" s="1">
        <v>29</v>
      </c>
      <c r="E208" s="1">
        <v>32.6</v>
      </c>
    </row>
    <row r="210" spans="1:5" x14ac:dyDescent="0.25">
      <c r="A210" s="2">
        <v>20</v>
      </c>
      <c r="B210">
        <v>4</v>
      </c>
      <c r="C210" t="s">
        <v>29</v>
      </c>
      <c r="D210" s="1">
        <v>33.700000000000003</v>
      </c>
      <c r="E210" s="1">
        <v>33.200000000000003</v>
      </c>
    </row>
    <row r="211" spans="1:5" x14ac:dyDescent="0.25">
      <c r="B211">
        <v>4</v>
      </c>
      <c r="C211" t="s">
        <v>29</v>
      </c>
      <c r="D211" s="1">
        <v>33.700000000000003</v>
      </c>
      <c r="E211" s="1">
        <v>33.200000000000003</v>
      </c>
    </row>
    <row r="212" spans="1:5" x14ac:dyDescent="0.25">
      <c r="B212">
        <v>4</v>
      </c>
      <c r="C212" t="s">
        <v>29</v>
      </c>
      <c r="D212" s="3">
        <v>33.700000000000003</v>
      </c>
      <c r="E212" s="3">
        <v>33.200000000000003</v>
      </c>
    </row>
    <row r="213" spans="1:5" x14ac:dyDescent="0.25">
      <c r="B213">
        <v>4</v>
      </c>
      <c r="C213" t="s">
        <v>29</v>
      </c>
      <c r="D213" s="1">
        <v>33.5</v>
      </c>
      <c r="E213" s="1">
        <v>33.4</v>
      </c>
    </row>
    <row r="214" spans="1:5" x14ac:dyDescent="0.25">
      <c r="B214">
        <v>4</v>
      </c>
      <c r="C214" t="s">
        <v>29</v>
      </c>
      <c r="D214" s="1">
        <v>33.5</v>
      </c>
      <c r="E214" s="1">
        <v>33.200000000000003</v>
      </c>
    </row>
    <row r="216" spans="1:5" x14ac:dyDescent="0.25">
      <c r="A216" s="2">
        <v>21</v>
      </c>
      <c r="B216">
        <v>5</v>
      </c>
      <c r="C216" t="s">
        <v>29</v>
      </c>
      <c r="D216" s="1">
        <v>37.299999999999997</v>
      </c>
      <c r="E216" s="1">
        <v>33.6</v>
      </c>
    </row>
    <row r="217" spans="1:5" x14ac:dyDescent="0.25">
      <c r="B217">
        <v>5</v>
      </c>
      <c r="C217" t="s">
        <v>29</v>
      </c>
      <c r="D217" s="1">
        <v>37.1</v>
      </c>
      <c r="E217" s="1">
        <v>33.6</v>
      </c>
    </row>
    <row r="218" spans="1:5" x14ac:dyDescent="0.25">
      <c r="B218">
        <v>5</v>
      </c>
      <c r="C218" t="s">
        <v>29</v>
      </c>
      <c r="D218" s="3">
        <v>37</v>
      </c>
      <c r="E218" s="3">
        <v>33.6</v>
      </c>
    </row>
    <row r="219" spans="1:5" x14ac:dyDescent="0.25">
      <c r="B219">
        <v>5</v>
      </c>
      <c r="C219" t="s">
        <v>29</v>
      </c>
      <c r="D219" s="1">
        <v>36.9</v>
      </c>
      <c r="E219" s="1">
        <v>33.4</v>
      </c>
    </row>
    <row r="221" spans="1:5" x14ac:dyDescent="0.25">
      <c r="A221" s="2">
        <v>22</v>
      </c>
      <c r="B221">
        <v>1.5</v>
      </c>
      <c r="C221" t="s">
        <v>30</v>
      </c>
      <c r="D221" s="1">
        <v>18</v>
      </c>
      <c r="E221" s="1">
        <v>9.8000000000000007</v>
      </c>
    </row>
    <row r="222" spans="1:5" x14ac:dyDescent="0.25">
      <c r="B222">
        <v>1.5</v>
      </c>
      <c r="C222" t="s">
        <v>30</v>
      </c>
      <c r="D222" s="1">
        <v>17.399999999999999</v>
      </c>
      <c r="E222" s="1">
        <v>9.6</v>
      </c>
    </row>
    <row r="223" spans="1:5" x14ac:dyDescent="0.25">
      <c r="B223">
        <v>1.5</v>
      </c>
      <c r="C223" t="s">
        <v>30</v>
      </c>
      <c r="D223" s="1">
        <v>17.7</v>
      </c>
      <c r="E223" s="1">
        <v>9.6</v>
      </c>
    </row>
    <row r="224" spans="1:5" x14ac:dyDescent="0.25">
      <c r="B224">
        <v>1.5</v>
      </c>
      <c r="C224" t="s">
        <v>30</v>
      </c>
      <c r="D224" s="1">
        <v>17.7</v>
      </c>
      <c r="E224" s="1">
        <v>9.8000000000000007</v>
      </c>
    </row>
    <row r="225" spans="1:5" x14ac:dyDescent="0.25">
      <c r="B225">
        <v>1.5</v>
      </c>
      <c r="C225" t="s">
        <v>30</v>
      </c>
      <c r="D225" s="1">
        <v>17.399999999999999</v>
      </c>
      <c r="E225" s="1">
        <v>9.4</v>
      </c>
    </row>
    <row r="226" spans="1:5" x14ac:dyDescent="0.25">
      <c r="B226">
        <v>1.5</v>
      </c>
      <c r="C226" t="s">
        <v>30</v>
      </c>
      <c r="D226" s="1">
        <v>17.600000000000001</v>
      </c>
      <c r="E226" s="1">
        <v>9.6</v>
      </c>
    </row>
    <row r="227" spans="1:5" x14ac:dyDescent="0.25">
      <c r="B227">
        <v>1.5</v>
      </c>
      <c r="C227" t="s">
        <v>30</v>
      </c>
      <c r="D227" s="3">
        <v>17.5</v>
      </c>
      <c r="E227" s="3">
        <v>9.6</v>
      </c>
    </row>
    <row r="228" spans="1:5" x14ac:dyDescent="0.25">
      <c r="B228">
        <v>1.5</v>
      </c>
      <c r="C228" t="s">
        <v>30</v>
      </c>
      <c r="D228" s="1">
        <v>17.600000000000001</v>
      </c>
      <c r="E228" s="1">
        <v>9.4</v>
      </c>
    </row>
    <row r="229" spans="1:5" x14ac:dyDescent="0.25">
      <c r="B229">
        <v>1.5</v>
      </c>
      <c r="C229" t="s">
        <v>30</v>
      </c>
      <c r="D229" s="1">
        <v>17.8</v>
      </c>
      <c r="E229" s="1">
        <v>9.6</v>
      </c>
    </row>
    <row r="230" spans="1:5" x14ac:dyDescent="0.25">
      <c r="B230">
        <v>1.5</v>
      </c>
      <c r="C230" t="s">
        <v>30</v>
      </c>
      <c r="D230" s="1">
        <v>17.399999999999999</v>
      </c>
      <c r="E230" s="1">
        <v>9.4</v>
      </c>
    </row>
    <row r="231" spans="1:5" x14ac:dyDescent="0.25">
      <c r="B231">
        <v>1.5</v>
      </c>
      <c r="C231" t="s">
        <v>30</v>
      </c>
      <c r="D231" s="1">
        <v>17.2</v>
      </c>
      <c r="E231" s="1">
        <v>9.1999999999999993</v>
      </c>
    </row>
    <row r="232" spans="1:5" x14ac:dyDescent="0.25">
      <c r="B232">
        <v>1.5</v>
      </c>
      <c r="C232" t="s">
        <v>30</v>
      </c>
      <c r="D232" s="1">
        <v>17.3</v>
      </c>
      <c r="E232" s="1">
        <v>9.1999999999999993</v>
      </c>
    </row>
    <row r="233" spans="1:5" x14ac:dyDescent="0.25">
      <c r="B233">
        <v>1.5</v>
      </c>
      <c r="C233" t="s">
        <v>30</v>
      </c>
      <c r="D233" s="1">
        <v>17.2</v>
      </c>
      <c r="E233" s="1">
        <v>9.1999999999999993</v>
      </c>
    </row>
    <row r="235" spans="1:5" x14ac:dyDescent="0.25">
      <c r="A235" s="2">
        <v>23</v>
      </c>
      <c r="B235">
        <v>2</v>
      </c>
      <c r="C235" t="s">
        <v>30</v>
      </c>
      <c r="D235" s="1">
        <v>20.5</v>
      </c>
      <c r="E235" s="1">
        <v>11.8</v>
      </c>
    </row>
    <row r="236" spans="1:5" x14ac:dyDescent="0.25">
      <c r="B236">
        <v>2</v>
      </c>
      <c r="C236" t="s">
        <v>30</v>
      </c>
      <c r="D236" s="1">
        <v>20.6</v>
      </c>
      <c r="E236" s="1">
        <v>12.7</v>
      </c>
    </row>
    <row r="237" spans="1:5" x14ac:dyDescent="0.25">
      <c r="B237">
        <v>2</v>
      </c>
      <c r="C237" t="s">
        <v>30</v>
      </c>
      <c r="D237" s="1">
        <v>20.2</v>
      </c>
      <c r="E237" s="1">
        <v>12.5</v>
      </c>
    </row>
    <row r="238" spans="1:5" x14ac:dyDescent="0.25">
      <c r="B238">
        <v>2</v>
      </c>
      <c r="C238" t="s">
        <v>30</v>
      </c>
      <c r="D238" s="1">
        <v>20.2</v>
      </c>
      <c r="E238" s="1">
        <v>12.5</v>
      </c>
    </row>
    <row r="239" spans="1:5" x14ac:dyDescent="0.25">
      <c r="B239">
        <v>2</v>
      </c>
      <c r="C239" t="s">
        <v>30</v>
      </c>
      <c r="D239" s="3">
        <v>20.399999999999999</v>
      </c>
      <c r="E239" s="3">
        <v>12.9</v>
      </c>
    </row>
    <row r="240" spans="1:5" x14ac:dyDescent="0.25">
      <c r="B240">
        <v>2</v>
      </c>
      <c r="C240" t="s">
        <v>30</v>
      </c>
      <c r="D240" s="1">
        <v>20.3</v>
      </c>
      <c r="E240" s="1">
        <v>12.9</v>
      </c>
    </row>
    <row r="241" spans="2:5" x14ac:dyDescent="0.25">
      <c r="B241">
        <v>2</v>
      </c>
      <c r="C241" t="s">
        <v>30</v>
      </c>
      <c r="D241" s="1">
        <v>20.3</v>
      </c>
      <c r="E241" s="1">
        <v>12.9</v>
      </c>
    </row>
    <row r="242" spans="2:5" x14ac:dyDescent="0.25">
      <c r="B242">
        <v>2</v>
      </c>
      <c r="C242" t="s">
        <v>30</v>
      </c>
      <c r="D242" s="1">
        <v>20.5</v>
      </c>
      <c r="E242" s="1">
        <v>12.9</v>
      </c>
    </row>
    <row r="243" spans="2:5" x14ac:dyDescent="0.25">
      <c r="D243" s="1"/>
      <c r="E243" s="1"/>
    </row>
    <row r="244" spans="2:5" x14ac:dyDescent="0.25">
      <c r="D244" s="1"/>
      <c r="E244" s="1"/>
    </row>
    <row r="245" spans="2:5" x14ac:dyDescent="0.25">
      <c r="D245" s="1"/>
      <c r="E245" s="1"/>
    </row>
    <row r="246" spans="2:5" x14ac:dyDescent="0.25">
      <c r="D246" s="1"/>
      <c r="E246" s="1"/>
    </row>
    <row r="247" spans="2:5" x14ac:dyDescent="0.25">
      <c r="D247" s="1"/>
      <c r="E247" s="1"/>
    </row>
    <row r="248" spans="2:5" x14ac:dyDescent="0.25">
      <c r="D248" s="1"/>
      <c r="E248" s="1"/>
    </row>
    <row r="249" spans="2:5" x14ac:dyDescent="0.25">
      <c r="D249" s="1"/>
      <c r="E249" s="1"/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EF25-0E4E-414A-B6EB-D27D1BF2CA76}">
  <dimension ref="A1:AL76"/>
  <sheetViews>
    <sheetView zoomScaleNormal="100" workbookViewId="0">
      <pane xSplit="1" ySplit="2" topLeftCell="I3" activePane="bottomRight" state="frozen"/>
      <selection pane="topRight" activeCell="B1" sqref="B1"/>
      <selection pane="bottomLeft" activeCell="A3" sqref="A3"/>
      <selection pane="bottomRight" activeCell="L17" sqref="L17"/>
    </sheetView>
  </sheetViews>
  <sheetFormatPr defaultRowHeight="15" x14ac:dyDescent="0.25"/>
  <cols>
    <col min="1" max="1" width="6.7109375" customWidth="1"/>
  </cols>
  <sheetData>
    <row r="1" spans="1:33" x14ac:dyDescent="0.25">
      <c r="A1" t="s">
        <v>33</v>
      </c>
    </row>
    <row r="2" spans="1:33" x14ac:dyDescent="0.25">
      <c r="A2" s="6" t="s">
        <v>35</v>
      </c>
      <c r="B2" s="6">
        <v>12</v>
      </c>
      <c r="C2" s="6">
        <v>15.8</v>
      </c>
      <c r="D2" s="6">
        <v>16.399999999999999</v>
      </c>
      <c r="E2" s="6">
        <v>16.5</v>
      </c>
      <c r="F2" s="6">
        <v>17.399999999999999</v>
      </c>
      <c r="G2" s="6">
        <v>17.5</v>
      </c>
      <c r="H2" s="6">
        <v>18.600000000000001</v>
      </c>
      <c r="I2" s="6">
        <v>20.2</v>
      </c>
      <c r="J2" s="6">
        <v>20.399999999999999</v>
      </c>
      <c r="K2" s="6">
        <v>20.7</v>
      </c>
      <c r="L2" s="6">
        <v>20.9</v>
      </c>
      <c r="M2" s="6">
        <v>23</v>
      </c>
      <c r="N2" s="6">
        <v>23.5</v>
      </c>
      <c r="O2" s="6">
        <v>24</v>
      </c>
      <c r="P2" s="6">
        <v>26.2</v>
      </c>
      <c r="Q2" s="6">
        <v>28.1</v>
      </c>
      <c r="R2" s="6">
        <v>28.9</v>
      </c>
      <c r="S2" s="6">
        <v>30</v>
      </c>
      <c r="T2" s="6">
        <v>30.2</v>
      </c>
      <c r="U2" s="6">
        <v>31.5</v>
      </c>
      <c r="V2" s="6">
        <v>32.799999999999997</v>
      </c>
      <c r="W2" s="6">
        <v>33</v>
      </c>
      <c r="X2" s="6">
        <v>33.700000000000003</v>
      </c>
      <c r="Y2" s="6">
        <v>34.4</v>
      </c>
      <c r="Z2" s="6">
        <v>36</v>
      </c>
      <c r="AA2" s="6">
        <v>37.1</v>
      </c>
      <c r="AB2" s="6">
        <v>48</v>
      </c>
      <c r="AC2" s="6"/>
      <c r="AE2" s="13" t="s">
        <v>7</v>
      </c>
      <c r="AF2" s="13"/>
      <c r="AG2" s="13"/>
    </row>
    <row r="3" spans="1:33" x14ac:dyDescent="0.25">
      <c r="A3" s="6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 t="s">
        <v>34</v>
      </c>
      <c r="AE3" s="6">
        <v>12</v>
      </c>
      <c r="AF3" s="6">
        <v>24</v>
      </c>
      <c r="AG3" s="6">
        <v>36</v>
      </c>
    </row>
    <row r="4" spans="1:33" x14ac:dyDescent="0.25">
      <c r="A4" s="3">
        <v>0.38</v>
      </c>
      <c r="B4" s="8">
        <f t="shared" ref="B4:K8" si="0">B$3+(B$9-B$3)/($A$9-$A$3)*($A4-$A$3)</f>
        <v>1.7860000000000001E-2</v>
      </c>
      <c r="C4" s="8">
        <f t="shared" si="0"/>
        <v>1.7980333333333331E-2</v>
      </c>
      <c r="D4" s="8">
        <f t="shared" si="0"/>
        <v>1.7999333333333332E-2</v>
      </c>
      <c r="E4" s="8">
        <f t="shared" si="0"/>
        <v>1.8002500000000001E-2</v>
      </c>
      <c r="F4" s="9">
        <f t="shared" si="0"/>
        <v>1.8030999999999998E-2</v>
      </c>
      <c r="G4" s="8">
        <f t="shared" si="0"/>
        <v>1.8034166666666667E-2</v>
      </c>
      <c r="H4" s="8">
        <f t="shared" si="0"/>
        <v>1.8068999999999998E-2</v>
      </c>
      <c r="I4" s="8">
        <f t="shared" si="0"/>
        <v>1.8119666666666666E-2</v>
      </c>
      <c r="J4" s="8">
        <f t="shared" si="0"/>
        <v>1.8126E-2</v>
      </c>
      <c r="K4" s="8">
        <f t="shared" si="0"/>
        <v>1.8135499999999999E-2</v>
      </c>
      <c r="L4" s="8">
        <f t="shared" ref="L4:Z8" si="1">L$3+(L$9-L$3)/($A$9-$A$3)*($A4-$A$3)</f>
        <v>1.8141833333333333E-2</v>
      </c>
      <c r="M4" s="8">
        <f t="shared" si="1"/>
        <v>1.8208333333333333E-2</v>
      </c>
      <c r="N4" s="8">
        <f t="shared" si="1"/>
        <v>1.8224166666666666E-2</v>
      </c>
      <c r="O4" s="8">
        <f t="shared" si="1"/>
        <v>1.8239999999999999E-2</v>
      </c>
      <c r="P4" s="8">
        <f t="shared" si="1"/>
        <v>1.75085E-2</v>
      </c>
      <c r="Q4" s="8">
        <f t="shared" si="1"/>
        <v>1.6876749999999999E-2</v>
      </c>
      <c r="R4" s="8">
        <f t="shared" si="1"/>
        <v>1.6610750000000001E-2</v>
      </c>
      <c r="S4" s="8">
        <f t="shared" si="1"/>
        <v>1.6244999999999999E-2</v>
      </c>
      <c r="T4" s="8">
        <f t="shared" si="1"/>
        <v>1.6178500000000002E-2</v>
      </c>
      <c r="U4" s="8">
        <f t="shared" si="1"/>
        <v>1.574625E-2</v>
      </c>
      <c r="V4" s="8">
        <f t="shared" si="1"/>
        <v>1.5314000000000001E-2</v>
      </c>
      <c r="W4" s="8">
        <f t="shared" si="1"/>
        <v>1.5247500000000001E-2</v>
      </c>
      <c r="X4" s="8">
        <f t="shared" si="1"/>
        <v>1.5014749999999997E-2</v>
      </c>
      <c r="Y4" s="8">
        <f t="shared" si="1"/>
        <v>1.4782000000000002E-2</v>
      </c>
      <c r="Z4" s="8">
        <f t="shared" si="1"/>
        <v>1.4249999999999999E-2</v>
      </c>
      <c r="AD4" s="6">
        <v>10</v>
      </c>
      <c r="AE4" s="7">
        <f>47%</f>
        <v>0.47</v>
      </c>
      <c r="AF4" s="7">
        <f>48%</f>
        <v>0.48</v>
      </c>
      <c r="AG4" s="8">
        <f>37.5%</f>
        <v>0.375</v>
      </c>
    </row>
    <row r="5" spans="1:33" x14ac:dyDescent="0.25">
      <c r="A5" s="3">
        <v>0.57999999999999996</v>
      </c>
      <c r="B5" s="8">
        <f t="shared" si="0"/>
        <v>2.726E-2</v>
      </c>
      <c r="C5" s="8">
        <f t="shared" si="0"/>
        <v>2.7443666666666661E-2</v>
      </c>
      <c r="D5" s="8">
        <f t="shared" si="0"/>
        <v>2.7472666666666663E-2</v>
      </c>
      <c r="E5" s="8">
        <f t="shared" si="0"/>
        <v>2.7477499999999998E-2</v>
      </c>
      <c r="F5" s="8">
        <f t="shared" si="0"/>
        <v>2.7520999999999997E-2</v>
      </c>
      <c r="G5" s="8">
        <f t="shared" si="0"/>
        <v>2.7525833333333329E-2</v>
      </c>
      <c r="H5" s="8">
        <f t="shared" si="0"/>
        <v>2.7578999999999996E-2</v>
      </c>
      <c r="I5" s="8">
        <f t="shared" si="0"/>
        <v>2.7656333333333331E-2</v>
      </c>
      <c r="J5" s="8">
        <f t="shared" si="0"/>
        <v>2.7665999999999996E-2</v>
      </c>
      <c r="K5" s="8">
        <f t="shared" si="0"/>
        <v>2.7680499999999997E-2</v>
      </c>
      <c r="L5" s="8">
        <f t="shared" si="1"/>
        <v>2.7690166666666665E-2</v>
      </c>
      <c r="M5" s="9">
        <f t="shared" si="1"/>
        <v>2.7791666666666662E-2</v>
      </c>
      <c r="N5" s="8">
        <f t="shared" si="1"/>
        <v>2.7815833333333331E-2</v>
      </c>
      <c r="O5" s="8">
        <f t="shared" si="1"/>
        <v>2.784E-2</v>
      </c>
      <c r="P5" s="8">
        <f t="shared" si="1"/>
        <v>2.6723499999999997E-2</v>
      </c>
      <c r="Q5" s="8">
        <f t="shared" si="1"/>
        <v>2.5759249999999997E-2</v>
      </c>
      <c r="R5" s="8">
        <f t="shared" si="1"/>
        <v>2.5353249999999997E-2</v>
      </c>
      <c r="S5" s="8">
        <f t="shared" si="1"/>
        <v>2.4794999999999998E-2</v>
      </c>
      <c r="T5" s="8">
        <f t="shared" si="1"/>
        <v>2.46935E-2</v>
      </c>
      <c r="U5" s="8">
        <f t="shared" si="1"/>
        <v>2.403375E-2</v>
      </c>
      <c r="V5" s="8">
        <f t="shared" si="1"/>
        <v>2.3373999999999999E-2</v>
      </c>
      <c r="W5" s="8">
        <f t="shared" si="1"/>
        <v>2.3272499999999998E-2</v>
      </c>
      <c r="X5" s="8">
        <f t="shared" si="1"/>
        <v>2.2917249999999993E-2</v>
      </c>
      <c r="Y5" s="8">
        <f t="shared" si="1"/>
        <v>2.2562000000000002E-2</v>
      </c>
      <c r="Z5" s="8">
        <f t="shared" si="1"/>
        <v>2.1749999999999999E-2</v>
      </c>
      <c r="AD5" s="6">
        <v>20</v>
      </c>
      <c r="AE5" s="7">
        <f>71%</f>
        <v>0.71</v>
      </c>
      <c r="AF5" s="8">
        <f>74.5%</f>
        <v>0.745</v>
      </c>
      <c r="AG5" s="8">
        <f>64.5%</f>
        <v>0.64500000000000002</v>
      </c>
    </row>
    <row r="6" spans="1:33" x14ac:dyDescent="0.25">
      <c r="A6" s="3">
        <v>8.6</v>
      </c>
      <c r="B6" s="8">
        <f t="shared" si="0"/>
        <v>0.4042</v>
      </c>
      <c r="C6" s="8">
        <f t="shared" si="0"/>
        <v>0.40692333333333325</v>
      </c>
      <c r="D6" s="8">
        <f t="shared" si="0"/>
        <v>0.40735333333333329</v>
      </c>
      <c r="E6" s="8">
        <f t="shared" si="0"/>
        <v>0.40742499999999998</v>
      </c>
      <c r="F6" s="8">
        <f t="shared" si="0"/>
        <v>0.40806999999999999</v>
      </c>
      <c r="G6" s="8">
        <f t="shared" si="0"/>
        <v>0.40814166666666662</v>
      </c>
      <c r="H6" s="8">
        <f t="shared" si="0"/>
        <v>0.40892999999999996</v>
      </c>
      <c r="I6" s="8">
        <f t="shared" si="0"/>
        <v>0.41007666666666664</v>
      </c>
      <c r="J6" s="8">
        <f t="shared" si="0"/>
        <v>0.41021999999999997</v>
      </c>
      <c r="K6" s="8">
        <f t="shared" si="0"/>
        <v>0.41043499999999994</v>
      </c>
      <c r="L6" s="8">
        <f t="shared" si="1"/>
        <v>0.41057833333333332</v>
      </c>
      <c r="M6" s="8">
        <f t="shared" si="1"/>
        <v>0.4120833333333333</v>
      </c>
      <c r="N6" s="8">
        <f t="shared" si="1"/>
        <v>0.41244166666666665</v>
      </c>
      <c r="O6" s="8">
        <f t="shared" si="1"/>
        <v>0.4128</v>
      </c>
      <c r="P6" s="8">
        <f t="shared" si="1"/>
        <v>0.39624499999999996</v>
      </c>
      <c r="Q6" s="8">
        <f t="shared" si="1"/>
        <v>0.3819475</v>
      </c>
      <c r="R6" s="8">
        <f t="shared" si="1"/>
        <v>0.37592749999999997</v>
      </c>
      <c r="S6" s="9">
        <f t="shared" si="1"/>
        <v>0.36764999999999998</v>
      </c>
      <c r="T6" s="8">
        <f t="shared" si="1"/>
        <v>0.366145</v>
      </c>
      <c r="U6" s="8">
        <f t="shared" si="1"/>
        <v>0.35636250000000003</v>
      </c>
      <c r="V6" s="8">
        <f t="shared" si="1"/>
        <v>0.34658</v>
      </c>
      <c r="W6" s="8">
        <f t="shared" si="1"/>
        <v>0.34507500000000002</v>
      </c>
      <c r="X6" s="8">
        <f t="shared" si="1"/>
        <v>0.33980749999999993</v>
      </c>
      <c r="Y6" s="8">
        <f t="shared" si="1"/>
        <v>0.33454</v>
      </c>
      <c r="Z6" s="8">
        <f t="shared" si="1"/>
        <v>0.32249999999999995</v>
      </c>
      <c r="AD6" s="6">
        <v>30</v>
      </c>
      <c r="AE6" s="8">
        <f>81.5%</f>
        <v>0.81499999999999995</v>
      </c>
      <c r="AF6" s="8">
        <f>83.5%</f>
        <v>0.83499999999999996</v>
      </c>
      <c r="AG6" s="8">
        <f>73.8%</f>
        <v>0.73799999999999999</v>
      </c>
    </row>
    <row r="7" spans="1:33" x14ac:dyDescent="0.25">
      <c r="A7" s="6">
        <v>8.8000000000000007</v>
      </c>
      <c r="B7" s="8">
        <f t="shared" si="0"/>
        <v>0.41360000000000002</v>
      </c>
      <c r="C7" s="8">
        <f t="shared" si="0"/>
        <v>0.41638666666666663</v>
      </c>
      <c r="D7" s="8">
        <f t="shared" si="0"/>
        <v>0.41682666666666668</v>
      </c>
      <c r="E7" s="9">
        <f t="shared" si="0"/>
        <v>0.41690000000000005</v>
      </c>
      <c r="F7" s="8">
        <f t="shared" si="0"/>
        <v>0.41756000000000004</v>
      </c>
      <c r="G7" s="8">
        <f t="shared" si="0"/>
        <v>0.41763333333333336</v>
      </c>
      <c r="H7" s="8">
        <f t="shared" si="0"/>
        <v>0.41843999999999998</v>
      </c>
      <c r="I7" s="8">
        <f t="shared" si="0"/>
        <v>0.41961333333333339</v>
      </c>
      <c r="J7" s="8">
        <f t="shared" si="0"/>
        <v>0.41976000000000002</v>
      </c>
      <c r="K7" s="8">
        <f t="shared" si="0"/>
        <v>0.41998000000000002</v>
      </c>
      <c r="L7" s="8">
        <f t="shared" si="1"/>
        <v>0.4201266666666667</v>
      </c>
      <c r="M7" s="8">
        <f t="shared" si="1"/>
        <v>0.42166666666666669</v>
      </c>
      <c r="N7" s="8">
        <f t="shared" si="1"/>
        <v>0.42203333333333337</v>
      </c>
      <c r="O7" s="8">
        <f t="shared" si="1"/>
        <v>0.42240000000000005</v>
      </c>
      <c r="P7" s="8">
        <f t="shared" si="1"/>
        <v>0.40545999999999999</v>
      </c>
      <c r="Q7" s="8">
        <f t="shared" si="1"/>
        <v>0.39083000000000001</v>
      </c>
      <c r="R7" s="8">
        <f t="shared" si="1"/>
        <v>0.38467000000000007</v>
      </c>
      <c r="S7" s="8">
        <f t="shared" si="1"/>
        <v>0.37619999999999998</v>
      </c>
      <c r="T7" s="8">
        <f t="shared" si="1"/>
        <v>0.37466000000000005</v>
      </c>
      <c r="U7" s="8">
        <f t="shared" si="1"/>
        <v>0.36465000000000003</v>
      </c>
      <c r="V7" s="8">
        <f t="shared" si="1"/>
        <v>0.35464000000000007</v>
      </c>
      <c r="W7" s="8">
        <f t="shared" si="1"/>
        <v>0.35310000000000002</v>
      </c>
      <c r="X7" s="8">
        <f t="shared" si="1"/>
        <v>0.34770999999999996</v>
      </c>
      <c r="Y7" s="8">
        <f t="shared" si="1"/>
        <v>0.34232000000000007</v>
      </c>
      <c r="Z7" s="8">
        <f t="shared" si="1"/>
        <v>0.33</v>
      </c>
      <c r="AD7" s="6">
        <v>40</v>
      </c>
      <c r="AE7" s="7">
        <f>84%</f>
        <v>0.84</v>
      </c>
      <c r="AF7" s="8">
        <f>87.5%</f>
        <v>0.875</v>
      </c>
      <c r="AG7" s="8">
        <f>79.2%</f>
        <v>0.79200000000000004</v>
      </c>
    </row>
    <row r="8" spans="1:33" x14ac:dyDescent="0.25">
      <c r="A8" s="6">
        <v>9.6</v>
      </c>
      <c r="B8" s="8">
        <f t="shared" si="0"/>
        <v>0.45119999999999999</v>
      </c>
      <c r="C8" s="8">
        <f t="shared" si="0"/>
        <v>0.45423999999999992</v>
      </c>
      <c r="D8" s="8">
        <f t="shared" si="0"/>
        <v>0.4547199999999999</v>
      </c>
      <c r="E8" s="8">
        <f t="shared" si="0"/>
        <v>0.45479999999999998</v>
      </c>
      <c r="F8" s="8">
        <f t="shared" si="0"/>
        <v>0.45551999999999998</v>
      </c>
      <c r="G8" s="9">
        <f t="shared" si="0"/>
        <v>0.45559999999999995</v>
      </c>
      <c r="H8" s="8">
        <f t="shared" si="0"/>
        <v>0.45647999999999994</v>
      </c>
      <c r="I8" s="8">
        <f t="shared" si="0"/>
        <v>0.45776</v>
      </c>
      <c r="J8" s="8">
        <f t="shared" si="0"/>
        <v>0.45791999999999999</v>
      </c>
      <c r="K8" s="8">
        <f t="shared" si="0"/>
        <v>0.45815999999999996</v>
      </c>
      <c r="L8" s="8">
        <f t="shared" si="1"/>
        <v>0.45832000000000001</v>
      </c>
      <c r="M8" s="8">
        <f t="shared" si="1"/>
        <v>0.45999999999999996</v>
      </c>
      <c r="N8" s="8">
        <f t="shared" si="1"/>
        <v>0.46039999999999998</v>
      </c>
      <c r="O8" s="8">
        <f t="shared" si="1"/>
        <v>0.46079999999999999</v>
      </c>
      <c r="P8" s="8">
        <f t="shared" si="1"/>
        <v>0.44231999999999999</v>
      </c>
      <c r="Q8" s="8">
        <f t="shared" si="1"/>
        <v>0.42636000000000002</v>
      </c>
      <c r="R8" s="8">
        <f t="shared" si="1"/>
        <v>0.41964000000000001</v>
      </c>
      <c r="S8" s="8">
        <f t="shared" si="1"/>
        <v>0.41039999999999993</v>
      </c>
      <c r="T8" s="8">
        <f t="shared" si="1"/>
        <v>0.40872000000000003</v>
      </c>
      <c r="U8" s="8">
        <f t="shared" si="1"/>
        <v>0.39779999999999999</v>
      </c>
      <c r="V8" s="8">
        <f t="shared" si="1"/>
        <v>0.38688</v>
      </c>
      <c r="W8" s="8">
        <f t="shared" si="1"/>
        <v>0.38519999999999999</v>
      </c>
      <c r="X8" s="8">
        <f t="shared" si="1"/>
        <v>0.37931999999999994</v>
      </c>
      <c r="Y8" s="8">
        <f t="shared" si="1"/>
        <v>0.37344000000000005</v>
      </c>
      <c r="Z8" s="8">
        <f t="shared" si="1"/>
        <v>0.36</v>
      </c>
      <c r="AD8" s="6">
        <v>50</v>
      </c>
      <c r="AE8" s="7">
        <f>85%</f>
        <v>0.85</v>
      </c>
      <c r="AF8" s="7">
        <f>90%</f>
        <v>0.9</v>
      </c>
      <c r="AG8" s="8">
        <f>82.5%</f>
        <v>0.82499999999999996</v>
      </c>
    </row>
    <row r="9" spans="1:33" x14ac:dyDescent="0.25">
      <c r="A9" s="6">
        <v>10</v>
      </c>
      <c r="B9" s="7">
        <f>47%</f>
        <v>0.47</v>
      </c>
      <c r="C9" s="8">
        <f t="shared" ref="C9:N9" si="2">$B9+(($O9-$B9)/($O$2-$B$2))*(C$2-$B$2)</f>
        <v>0.47316666666666662</v>
      </c>
      <c r="D9" s="8">
        <f t="shared" si="2"/>
        <v>0.47366666666666662</v>
      </c>
      <c r="E9" s="8">
        <f t="shared" si="2"/>
        <v>0.47375</v>
      </c>
      <c r="F9" s="8">
        <f t="shared" si="2"/>
        <v>0.47449999999999998</v>
      </c>
      <c r="G9" s="8">
        <f t="shared" si="2"/>
        <v>0.4745833333333333</v>
      </c>
      <c r="H9" s="8">
        <f t="shared" si="2"/>
        <v>0.47549999999999998</v>
      </c>
      <c r="I9" s="8">
        <f t="shared" si="2"/>
        <v>0.47683333333333333</v>
      </c>
      <c r="J9" s="8">
        <f t="shared" si="2"/>
        <v>0.47699999999999998</v>
      </c>
      <c r="K9" s="8">
        <f t="shared" si="2"/>
        <v>0.47724999999999995</v>
      </c>
      <c r="L9" s="8">
        <f t="shared" si="2"/>
        <v>0.47741666666666666</v>
      </c>
      <c r="M9" s="8">
        <f t="shared" si="2"/>
        <v>0.47916666666666663</v>
      </c>
      <c r="N9" s="8">
        <f t="shared" si="2"/>
        <v>0.47958333333333331</v>
      </c>
      <c r="O9" s="7">
        <f>48%</f>
        <v>0.48</v>
      </c>
      <c r="P9" s="8">
        <f t="shared" ref="P9:Y9" si="3">$O9+(($Z9-$O9)/($Z$2-$O$2))*(P$2-$O$2)</f>
        <v>0.46074999999999999</v>
      </c>
      <c r="Q9" s="8">
        <f t="shared" si="3"/>
        <v>0.44412499999999999</v>
      </c>
      <c r="R9" s="8">
        <f t="shared" si="3"/>
        <v>0.43712499999999999</v>
      </c>
      <c r="S9" s="8">
        <f t="shared" si="3"/>
        <v>0.42749999999999999</v>
      </c>
      <c r="T9" s="8">
        <f t="shared" si="3"/>
        <v>0.42575000000000002</v>
      </c>
      <c r="U9" s="8">
        <f t="shared" si="3"/>
        <v>0.41437499999999999</v>
      </c>
      <c r="V9" s="8">
        <f t="shared" si="3"/>
        <v>0.40300000000000002</v>
      </c>
      <c r="W9" s="8">
        <f t="shared" si="3"/>
        <v>0.40125</v>
      </c>
      <c r="X9" s="8">
        <f t="shared" si="3"/>
        <v>0.39512499999999995</v>
      </c>
      <c r="Y9" s="8">
        <f t="shared" si="3"/>
        <v>0.38900000000000001</v>
      </c>
      <c r="Z9" s="8">
        <f>37.5%</f>
        <v>0.375</v>
      </c>
      <c r="AD9" s="6">
        <v>60</v>
      </c>
      <c r="AE9" s="8">
        <f>85.8%</f>
        <v>0.85799999999999998</v>
      </c>
      <c r="AF9" s="8">
        <f>90.7%</f>
        <v>0.90700000000000003</v>
      </c>
      <c r="AG9" s="8">
        <f>84.6%</f>
        <v>0.84599999999999997</v>
      </c>
    </row>
    <row r="10" spans="1:33" x14ac:dyDescent="0.25">
      <c r="A10" s="3">
        <v>11</v>
      </c>
      <c r="B10" s="8">
        <f t="shared" ref="B10:K13" si="4">B$9+(B$14-B$9)/($A$14-$A$9)*($A10-$A$9)</f>
        <v>0.49399999999999999</v>
      </c>
      <c r="C10" s="8">
        <f t="shared" si="4"/>
        <v>0.49795833333333328</v>
      </c>
      <c r="D10" s="8">
        <f t="shared" si="4"/>
        <v>0.49858333333333327</v>
      </c>
      <c r="E10" s="8">
        <f t="shared" si="4"/>
        <v>0.49868750000000001</v>
      </c>
      <c r="F10" s="8">
        <f t="shared" si="4"/>
        <v>0.49962499999999999</v>
      </c>
      <c r="G10" s="8">
        <f t="shared" si="4"/>
        <v>0.49972916666666667</v>
      </c>
      <c r="H10" s="8">
        <f t="shared" si="4"/>
        <v>0.50087499999999996</v>
      </c>
      <c r="I10" s="8">
        <f t="shared" si="4"/>
        <v>0.50254166666666666</v>
      </c>
      <c r="J10" s="8">
        <f t="shared" si="4"/>
        <v>0.50275000000000003</v>
      </c>
      <c r="K10" s="8">
        <f t="shared" si="4"/>
        <v>0.50306249999999997</v>
      </c>
      <c r="L10" s="8">
        <f t="shared" ref="L10:Z13" si="5">L$9+(L$14-L$9)/($A$14-$A$9)*($A10-$A$9)</f>
        <v>0.50327083333333333</v>
      </c>
      <c r="M10" s="8">
        <f t="shared" si="5"/>
        <v>0.50545833333333334</v>
      </c>
      <c r="N10" s="8">
        <f t="shared" si="5"/>
        <v>0.50597916666666665</v>
      </c>
      <c r="O10" s="8">
        <f t="shared" si="5"/>
        <v>0.50649999999999995</v>
      </c>
      <c r="P10" s="8">
        <f t="shared" si="5"/>
        <v>0.48734166666666667</v>
      </c>
      <c r="Q10" s="8">
        <f t="shared" si="5"/>
        <v>0.4707958333333333</v>
      </c>
      <c r="R10" s="8">
        <f t="shared" si="5"/>
        <v>0.46382916666666668</v>
      </c>
      <c r="S10" s="8">
        <f t="shared" si="5"/>
        <v>0.45424999999999999</v>
      </c>
      <c r="T10" s="8">
        <f t="shared" si="5"/>
        <v>0.45250833333333335</v>
      </c>
      <c r="U10" s="8">
        <f t="shared" si="5"/>
        <v>0.44118750000000001</v>
      </c>
      <c r="V10" s="8">
        <f t="shared" si="5"/>
        <v>0.42986666666666667</v>
      </c>
      <c r="W10" s="8">
        <f t="shared" si="5"/>
        <v>0.42812499999999998</v>
      </c>
      <c r="X10" s="8">
        <f t="shared" si="5"/>
        <v>0.42202916666666662</v>
      </c>
      <c r="Y10" s="9">
        <f t="shared" si="5"/>
        <v>0.41593333333333332</v>
      </c>
      <c r="Z10" s="8">
        <f t="shared" si="5"/>
        <v>0.40200000000000002</v>
      </c>
      <c r="AD10" s="6">
        <v>70</v>
      </c>
      <c r="AE10" s="7">
        <f>86%</f>
        <v>0.86</v>
      </c>
      <c r="AF10" s="7">
        <f>91%</f>
        <v>0.91</v>
      </c>
      <c r="AG10" s="8">
        <f>86.2%</f>
        <v>0.86199999999999999</v>
      </c>
    </row>
    <row r="11" spans="1:33" x14ac:dyDescent="0.25">
      <c r="A11" s="6">
        <v>11.8</v>
      </c>
      <c r="B11" s="8">
        <f t="shared" si="4"/>
        <v>0.51319999999999999</v>
      </c>
      <c r="C11" s="9">
        <f t="shared" si="4"/>
        <v>0.51779166666666665</v>
      </c>
      <c r="D11" s="8">
        <f t="shared" si="4"/>
        <v>0.51851666666666663</v>
      </c>
      <c r="E11" s="8">
        <f t="shared" si="4"/>
        <v>0.51863749999999997</v>
      </c>
      <c r="F11" s="8">
        <f t="shared" si="4"/>
        <v>0.51972499999999999</v>
      </c>
      <c r="G11" s="8">
        <f t="shared" si="4"/>
        <v>0.51984583333333334</v>
      </c>
      <c r="H11" s="8">
        <f t="shared" si="4"/>
        <v>0.52117499999999994</v>
      </c>
      <c r="I11" s="8">
        <f t="shared" si="4"/>
        <v>0.5231083333333334</v>
      </c>
      <c r="J11" s="8">
        <f t="shared" si="4"/>
        <v>0.52334999999999998</v>
      </c>
      <c r="K11" s="8">
        <f t="shared" si="4"/>
        <v>0.52371250000000003</v>
      </c>
      <c r="L11" s="8">
        <f t="shared" si="5"/>
        <v>0.52395416666666672</v>
      </c>
      <c r="M11" s="8">
        <f t="shared" si="5"/>
        <v>0.52649166666666669</v>
      </c>
      <c r="N11" s="8">
        <f t="shared" si="5"/>
        <v>0.52709583333333332</v>
      </c>
      <c r="O11" s="8">
        <f t="shared" si="5"/>
        <v>0.52770000000000006</v>
      </c>
      <c r="P11" s="8">
        <f t="shared" si="5"/>
        <v>0.50861500000000004</v>
      </c>
      <c r="Q11" s="8">
        <f t="shared" si="5"/>
        <v>0.49213250000000003</v>
      </c>
      <c r="R11" s="8">
        <f t="shared" si="5"/>
        <v>0.48519250000000003</v>
      </c>
      <c r="S11" s="8">
        <f t="shared" si="5"/>
        <v>0.47565000000000002</v>
      </c>
      <c r="T11" s="8">
        <f t="shared" si="5"/>
        <v>0.47391500000000003</v>
      </c>
      <c r="U11" s="8">
        <f t="shared" si="5"/>
        <v>0.46263750000000003</v>
      </c>
      <c r="V11" s="8">
        <f t="shared" si="5"/>
        <v>0.45136000000000004</v>
      </c>
      <c r="W11" s="8">
        <f t="shared" si="5"/>
        <v>0.449625</v>
      </c>
      <c r="X11" s="8">
        <f t="shared" si="5"/>
        <v>0.44355249999999996</v>
      </c>
      <c r="Y11" s="8">
        <f t="shared" si="5"/>
        <v>0.43748000000000004</v>
      </c>
      <c r="Z11" s="8">
        <f t="shared" si="5"/>
        <v>0.42360000000000003</v>
      </c>
      <c r="AD11" s="6">
        <v>80</v>
      </c>
      <c r="AE11" s="8">
        <f>86.1%</f>
        <v>0.86099999999999999</v>
      </c>
      <c r="AF11" s="8">
        <f>91.1%</f>
        <v>0.91099999999999992</v>
      </c>
      <c r="AG11" s="8">
        <f>87.6%</f>
        <v>0.87599999999999989</v>
      </c>
    </row>
    <row r="12" spans="1:33" x14ac:dyDescent="0.25">
      <c r="A12" s="6">
        <v>12.7</v>
      </c>
      <c r="B12" s="8">
        <f t="shared" si="4"/>
        <v>0.53479999999999994</v>
      </c>
      <c r="C12" s="8">
        <f t="shared" si="4"/>
        <v>0.54010416666666661</v>
      </c>
      <c r="D12" s="9">
        <f t="shared" si="4"/>
        <v>0.54094166666666665</v>
      </c>
      <c r="E12" s="8">
        <f t="shared" si="4"/>
        <v>0.54108124999999996</v>
      </c>
      <c r="F12" s="8">
        <f t="shared" si="4"/>
        <v>0.54233749999999992</v>
      </c>
      <c r="G12" s="8">
        <f t="shared" si="4"/>
        <v>0.54247708333333333</v>
      </c>
      <c r="H12" s="8">
        <f t="shared" si="4"/>
        <v>0.54401250000000001</v>
      </c>
      <c r="I12" s="8">
        <f t="shared" si="4"/>
        <v>0.54624583333333332</v>
      </c>
      <c r="J12" s="8">
        <f t="shared" si="4"/>
        <v>0.54652499999999993</v>
      </c>
      <c r="K12" s="8">
        <f t="shared" si="4"/>
        <v>0.54694374999999995</v>
      </c>
      <c r="L12" s="8">
        <f t="shared" si="5"/>
        <v>0.54722291666666667</v>
      </c>
      <c r="M12" s="8">
        <f t="shared" si="5"/>
        <v>0.55015416666666661</v>
      </c>
      <c r="N12" s="8">
        <f t="shared" si="5"/>
        <v>0.55085208333333324</v>
      </c>
      <c r="O12" s="8">
        <f t="shared" si="5"/>
        <v>0.55154999999999998</v>
      </c>
      <c r="P12" s="8">
        <f t="shared" si="5"/>
        <v>0.53254749999999995</v>
      </c>
      <c r="Q12" s="8">
        <f t="shared" si="5"/>
        <v>0.51613624999999996</v>
      </c>
      <c r="R12" s="8">
        <f t="shared" si="5"/>
        <v>0.50922624999999999</v>
      </c>
      <c r="S12" s="8">
        <f t="shared" si="5"/>
        <v>0.49972499999999997</v>
      </c>
      <c r="T12" s="8">
        <f t="shared" si="5"/>
        <v>0.49799749999999998</v>
      </c>
      <c r="U12" s="8">
        <f t="shared" si="5"/>
        <v>0.48676874999999997</v>
      </c>
      <c r="V12" s="8">
        <f t="shared" si="5"/>
        <v>0.47554000000000002</v>
      </c>
      <c r="W12" s="8">
        <f t="shared" si="5"/>
        <v>0.47381249999999997</v>
      </c>
      <c r="X12" s="8">
        <f t="shared" si="5"/>
        <v>0.46776624999999994</v>
      </c>
      <c r="Y12" s="8">
        <f t="shared" si="5"/>
        <v>0.46171999999999996</v>
      </c>
      <c r="Z12" s="8">
        <f t="shared" si="5"/>
        <v>0.44789999999999996</v>
      </c>
      <c r="AD12" s="6">
        <v>90</v>
      </c>
      <c r="AE12" s="8">
        <f>86.1%</f>
        <v>0.86099999999999999</v>
      </c>
      <c r="AF12" s="8">
        <f>91.1%</f>
        <v>0.91099999999999992</v>
      </c>
      <c r="AG12" s="8">
        <f>88.7%</f>
        <v>0.88700000000000001</v>
      </c>
    </row>
    <row r="13" spans="1:33" x14ac:dyDescent="0.25">
      <c r="A13" s="6">
        <v>12.9</v>
      </c>
      <c r="B13" s="8">
        <f t="shared" si="4"/>
        <v>0.53959999999999997</v>
      </c>
      <c r="C13" s="8">
        <f t="shared" si="4"/>
        <v>0.54506250000000001</v>
      </c>
      <c r="D13" s="8">
        <f t="shared" si="4"/>
        <v>0.54592499999999999</v>
      </c>
      <c r="E13" s="8">
        <f t="shared" si="4"/>
        <v>0.54606874999999999</v>
      </c>
      <c r="F13" s="8">
        <f t="shared" si="4"/>
        <v>0.54736249999999997</v>
      </c>
      <c r="G13" s="8">
        <f t="shared" si="4"/>
        <v>0.54750624999999997</v>
      </c>
      <c r="H13" s="8">
        <f t="shared" si="4"/>
        <v>0.54908749999999995</v>
      </c>
      <c r="I13" s="8">
        <f t="shared" si="4"/>
        <v>0.55138750000000003</v>
      </c>
      <c r="J13" s="9">
        <f t="shared" si="4"/>
        <v>0.55167499999999992</v>
      </c>
      <c r="K13" s="8">
        <f t="shared" si="4"/>
        <v>0.55210625000000002</v>
      </c>
      <c r="L13" s="8">
        <f t="shared" si="5"/>
        <v>0.55239375000000002</v>
      </c>
      <c r="M13" s="8">
        <f t="shared" si="5"/>
        <v>0.55541249999999998</v>
      </c>
      <c r="N13" s="8">
        <f t="shared" si="5"/>
        <v>0.55613124999999997</v>
      </c>
      <c r="O13" s="8">
        <f t="shared" si="5"/>
        <v>0.55684999999999996</v>
      </c>
      <c r="P13" s="8">
        <f t="shared" si="5"/>
        <v>0.53786583333333338</v>
      </c>
      <c r="Q13" s="8">
        <f t="shared" si="5"/>
        <v>0.5214704166666666</v>
      </c>
      <c r="R13" s="8">
        <f t="shared" si="5"/>
        <v>0.51456708333333334</v>
      </c>
      <c r="S13" s="8">
        <f t="shared" si="5"/>
        <v>0.50507500000000005</v>
      </c>
      <c r="T13" s="8">
        <f t="shared" si="5"/>
        <v>0.50334916666666674</v>
      </c>
      <c r="U13" s="8">
        <f t="shared" si="5"/>
        <v>0.49213125000000002</v>
      </c>
      <c r="V13" s="8">
        <f t="shared" si="5"/>
        <v>0.48091333333333336</v>
      </c>
      <c r="W13" s="8">
        <f t="shared" si="5"/>
        <v>0.47918749999999999</v>
      </c>
      <c r="X13" s="8">
        <f t="shared" si="5"/>
        <v>0.47314708333333333</v>
      </c>
      <c r="Y13" s="8">
        <f t="shared" si="5"/>
        <v>0.46710666666666667</v>
      </c>
      <c r="Z13" s="8">
        <f t="shared" si="5"/>
        <v>0.45330000000000004</v>
      </c>
      <c r="AD13" s="6">
        <v>100</v>
      </c>
      <c r="AE13" s="7">
        <f>86%</f>
        <v>0.86</v>
      </c>
      <c r="AF13" s="7">
        <f>91%</f>
        <v>0.91</v>
      </c>
      <c r="AG13" s="8">
        <f>89.7%</f>
        <v>0.89700000000000002</v>
      </c>
    </row>
    <row r="14" spans="1:33" x14ac:dyDescent="0.25">
      <c r="A14" s="6">
        <v>20</v>
      </c>
      <c r="B14" s="7">
        <f>71%</f>
        <v>0.71</v>
      </c>
      <c r="C14" s="8">
        <f t="shared" ref="C14:N14" si="6">$B14+(($O14-$B14)/($O$2-$B$2))*(C$2-$B$2)</f>
        <v>0.7210833333333333</v>
      </c>
      <c r="D14" s="8">
        <f t="shared" si="6"/>
        <v>0.72283333333333333</v>
      </c>
      <c r="E14" s="8">
        <f t="shared" si="6"/>
        <v>0.72312500000000002</v>
      </c>
      <c r="F14" s="8">
        <f t="shared" si="6"/>
        <v>0.72575000000000001</v>
      </c>
      <c r="G14" s="8">
        <f t="shared" si="6"/>
        <v>0.7260416666666667</v>
      </c>
      <c r="H14" s="8">
        <f t="shared" si="6"/>
        <v>0.72924999999999995</v>
      </c>
      <c r="I14" s="8">
        <f t="shared" si="6"/>
        <v>0.73391666666666666</v>
      </c>
      <c r="J14" s="8">
        <f t="shared" si="6"/>
        <v>0.73449999999999993</v>
      </c>
      <c r="K14" s="8">
        <f t="shared" si="6"/>
        <v>0.735375</v>
      </c>
      <c r="L14" s="8">
        <f t="shared" si="6"/>
        <v>0.73595833333333327</v>
      </c>
      <c r="M14" s="8">
        <f t="shared" si="6"/>
        <v>0.74208333333333332</v>
      </c>
      <c r="N14" s="8">
        <f t="shared" si="6"/>
        <v>0.74354166666666666</v>
      </c>
      <c r="O14" s="8">
        <f>74.5%</f>
        <v>0.745</v>
      </c>
      <c r="P14" s="8">
        <f t="shared" ref="P14:Y14" si="7">$O14+(($Z14-$O14)/($Z$2-$O$2))*(P$2-$O$2)</f>
        <v>0.72666666666666668</v>
      </c>
      <c r="Q14" s="8">
        <f t="shared" si="7"/>
        <v>0.71083333333333332</v>
      </c>
      <c r="R14" s="8">
        <f t="shared" si="7"/>
        <v>0.70416666666666672</v>
      </c>
      <c r="S14" s="8">
        <f t="shared" si="7"/>
        <v>0.69500000000000006</v>
      </c>
      <c r="T14" s="8">
        <f t="shared" si="7"/>
        <v>0.69333333333333336</v>
      </c>
      <c r="U14" s="8">
        <f t="shared" si="7"/>
        <v>0.6825</v>
      </c>
      <c r="V14" s="8">
        <f t="shared" si="7"/>
        <v>0.67166666666666675</v>
      </c>
      <c r="W14" s="8">
        <f t="shared" si="7"/>
        <v>0.67</v>
      </c>
      <c r="X14" s="8">
        <f t="shared" si="7"/>
        <v>0.66416666666666668</v>
      </c>
      <c r="Y14" s="8">
        <f t="shared" si="7"/>
        <v>0.65833333333333333</v>
      </c>
      <c r="Z14" s="8">
        <f>64.5%</f>
        <v>0.64500000000000002</v>
      </c>
    </row>
    <row r="15" spans="1:33" s="6" customFormat="1" x14ac:dyDescent="0.25">
      <c r="A15" s="6">
        <v>20.5</v>
      </c>
      <c r="B15" s="8">
        <f t="shared" ref="B15:K21" si="8">B$14+(B$22-B$14)/($A$22-$A$14)*($A15-$A$14)</f>
        <v>0.71524999999999994</v>
      </c>
      <c r="C15" s="8">
        <f t="shared" si="8"/>
        <v>0.72609583333333327</v>
      </c>
      <c r="D15" s="8">
        <f t="shared" si="8"/>
        <v>0.72780833333333328</v>
      </c>
      <c r="E15" s="8">
        <f t="shared" si="8"/>
        <v>0.72809374999999998</v>
      </c>
      <c r="F15" s="8">
        <f t="shared" si="8"/>
        <v>0.73066249999999999</v>
      </c>
      <c r="G15" s="8">
        <f t="shared" si="8"/>
        <v>0.7309479166666667</v>
      </c>
      <c r="H15" s="8">
        <f t="shared" si="8"/>
        <v>0.7340875</v>
      </c>
      <c r="I15" s="8">
        <f t="shared" si="8"/>
        <v>0.73865416666666661</v>
      </c>
      <c r="J15" s="8">
        <f t="shared" si="8"/>
        <v>0.73922499999999991</v>
      </c>
      <c r="K15" s="8">
        <f t="shared" si="8"/>
        <v>0.74008125000000002</v>
      </c>
      <c r="L15" s="8">
        <f t="shared" ref="L15:Z21" si="9">L$14+(L$22-L$14)/($A$22-$A$14)*($A15-$A$14)</f>
        <v>0.74065208333333332</v>
      </c>
      <c r="M15" s="8">
        <f t="shared" si="9"/>
        <v>0.74664583333333334</v>
      </c>
      <c r="N15" s="9">
        <f t="shared" si="9"/>
        <v>0.74807291666666664</v>
      </c>
      <c r="O15" s="8">
        <f t="shared" si="9"/>
        <v>0.74949999999999994</v>
      </c>
      <c r="P15" s="8">
        <f t="shared" si="9"/>
        <v>0.7311941666666667</v>
      </c>
      <c r="Q15" s="8">
        <f t="shared" si="9"/>
        <v>0.71538458333333332</v>
      </c>
      <c r="R15" s="8">
        <f t="shared" si="9"/>
        <v>0.70872791666666668</v>
      </c>
      <c r="S15" s="8">
        <f t="shared" si="9"/>
        <v>0.69957500000000006</v>
      </c>
      <c r="T15" s="8">
        <f t="shared" si="9"/>
        <v>0.69791083333333337</v>
      </c>
      <c r="U15" s="8">
        <f t="shared" si="9"/>
        <v>0.68709374999999995</v>
      </c>
      <c r="V15" s="8">
        <f t="shared" si="9"/>
        <v>0.67627666666666675</v>
      </c>
      <c r="W15" s="8">
        <f t="shared" si="9"/>
        <v>0.67461250000000006</v>
      </c>
      <c r="X15" s="8">
        <f t="shared" si="9"/>
        <v>0.6687879166666667</v>
      </c>
      <c r="Y15" s="8">
        <f t="shared" si="9"/>
        <v>0.66296333333333335</v>
      </c>
      <c r="Z15" s="8">
        <f t="shared" si="9"/>
        <v>0.64965000000000006</v>
      </c>
      <c r="AA15"/>
      <c r="AB15"/>
      <c r="AC15"/>
      <c r="AD15"/>
      <c r="AE15"/>
      <c r="AF15"/>
      <c r="AG15"/>
    </row>
    <row r="16" spans="1:33" x14ac:dyDescent="0.25">
      <c r="A16" s="6">
        <v>20.9</v>
      </c>
      <c r="B16" s="8">
        <f t="shared" si="8"/>
        <v>0.71944999999999992</v>
      </c>
      <c r="C16" s="8">
        <f t="shared" si="8"/>
        <v>0.73010583333333323</v>
      </c>
      <c r="D16" s="8">
        <f t="shared" si="8"/>
        <v>0.73178833333333326</v>
      </c>
      <c r="E16" s="8">
        <f t="shared" si="8"/>
        <v>0.73206875000000005</v>
      </c>
      <c r="F16" s="8">
        <f t="shared" si="8"/>
        <v>0.73459249999999998</v>
      </c>
      <c r="G16" s="8">
        <f t="shared" si="8"/>
        <v>0.73487291666666665</v>
      </c>
      <c r="H16" s="8">
        <f t="shared" si="8"/>
        <v>0.73795749999999993</v>
      </c>
      <c r="I16" s="8">
        <f t="shared" si="8"/>
        <v>0.74244416666666668</v>
      </c>
      <c r="J16" s="8">
        <f t="shared" si="8"/>
        <v>0.74300499999999992</v>
      </c>
      <c r="K16" s="9">
        <f t="shared" si="8"/>
        <v>0.74384624999999993</v>
      </c>
      <c r="L16" s="8">
        <f t="shared" si="9"/>
        <v>0.74440708333333327</v>
      </c>
      <c r="M16" s="8">
        <f t="shared" si="9"/>
        <v>0.75029583333333327</v>
      </c>
      <c r="N16" s="8">
        <f t="shared" si="9"/>
        <v>0.75169791666666663</v>
      </c>
      <c r="O16" s="8">
        <f t="shared" si="9"/>
        <v>0.75309999999999999</v>
      </c>
      <c r="P16" s="8">
        <f t="shared" si="9"/>
        <v>0.73481616666666671</v>
      </c>
      <c r="Q16" s="8">
        <f t="shared" si="9"/>
        <v>0.71902558333333333</v>
      </c>
      <c r="R16" s="8">
        <f t="shared" si="9"/>
        <v>0.71237691666666669</v>
      </c>
      <c r="S16" s="8">
        <f t="shared" si="9"/>
        <v>0.70323500000000005</v>
      </c>
      <c r="T16" s="8">
        <f t="shared" si="9"/>
        <v>0.70157283333333331</v>
      </c>
      <c r="U16" s="8">
        <f t="shared" si="9"/>
        <v>0.69076874999999993</v>
      </c>
      <c r="V16" s="8">
        <f t="shared" si="9"/>
        <v>0.67996466666666677</v>
      </c>
      <c r="W16" s="8">
        <f t="shared" si="9"/>
        <v>0.67830250000000003</v>
      </c>
      <c r="X16" s="8">
        <f t="shared" si="9"/>
        <v>0.67248491666666665</v>
      </c>
      <c r="Y16" s="8">
        <f t="shared" si="9"/>
        <v>0.66666733333333328</v>
      </c>
      <c r="Z16" s="8">
        <f t="shared" si="9"/>
        <v>0.65337000000000001</v>
      </c>
    </row>
    <row r="17" spans="1:28" x14ac:dyDescent="0.25">
      <c r="A17" s="6">
        <v>21.1</v>
      </c>
      <c r="B17" s="8">
        <f t="shared" si="8"/>
        <v>0.72155000000000002</v>
      </c>
      <c r="C17" s="8">
        <f t="shared" si="8"/>
        <v>0.73211083333333327</v>
      </c>
      <c r="D17" s="8">
        <f t="shared" si="8"/>
        <v>0.73377833333333331</v>
      </c>
      <c r="E17" s="8">
        <f t="shared" si="8"/>
        <v>0.73405625000000008</v>
      </c>
      <c r="F17" s="8">
        <f t="shared" si="8"/>
        <v>0.73655749999999998</v>
      </c>
      <c r="G17" s="8">
        <f t="shared" si="8"/>
        <v>0.73683541666666674</v>
      </c>
      <c r="H17" s="8">
        <f t="shared" si="8"/>
        <v>0.73989249999999995</v>
      </c>
      <c r="I17" s="8">
        <f t="shared" si="8"/>
        <v>0.74433916666666666</v>
      </c>
      <c r="J17" s="8">
        <f t="shared" si="8"/>
        <v>0.74489499999999997</v>
      </c>
      <c r="K17" s="8">
        <f t="shared" si="8"/>
        <v>0.74572875000000005</v>
      </c>
      <c r="L17" s="9">
        <f t="shared" si="9"/>
        <v>0.74628458333333325</v>
      </c>
      <c r="M17" s="8">
        <f t="shared" si="9"/>
        <v>0.75212083333333335</v>
      </c>
      <c r="N17" s="8">
        <f t="shared" si="9"/>
        <v>0.75351041666666663</v>
      </c>
      <c r="O17" s="8">
        <f t="shared" si="9"/>
        <v>0.75490000000000002</v>
      </c>
      <c r="P17" s="8">
        <f t="shared" si="9"/>
        <v>0.73662716666666672</v>
      </c>
      <c r="Q17" s="8">
        <f t="shared" si="9"/>
        <v>0.72084608333333333</v>
      </c>
      <c r="R17" s="8">
        <f t="shared" si="9"/>
        <v>0.7142014166666667</v>
      </c>
      <c r="S17" s="8">
        <f t="shared" si="9"/>
        <v>0.70506500000000005</v>
      </c>
      <c r="T17" s="8">
        <f t="shared" si="9"/>
        <v>0.70340383333333334</v>
      </c>
      <c r="U17" s="8">
        <f t="shared" si="9"/>
        <v>0.69260624999999998</v>
      </c>
      <c r="V17" s="8">
        <f t="shared" si="9"/>
        <v>0.68180866666666673</v>
      </c>
      <c r="W17" s="8">
        <f t="shared" si="9"/>
        <v>0.68014750000000002</v>
      </c>
      <c r="X17" s="8">
        <f t="shared" si="9"/>
        <v>0.67433341666666669</v>
      </c>
      <c r="Y17" s="8">
        <f t="shared" si="9"/>
        <v>0.66851933333333335</v>
      </c>
      <c r="Z17" s="8">
        <f t="shared" si="9"/>
        <v>0.65522999999999998</v>
      </c>
    </row>
    <row r="18" spans="1:28" x14ac:dyDescent="0.25">
      <c r="A18" s="3">
        <v>22.7</v>
      </c>
      <c r="B18" s="8">
        <f t="shared" si="8"/>
        <v>0.73834999999999995</v>
      </c>
      <c r="C18" s="8">
        <f t="shared" si="8"/>
        <v>0.74815083333333332</v>
      </c>
      <c r="D18" s="8">
        <f t="shared" si="8"/>
        <v>0.74969833333333336</v>
      </c>
      <c r="E18" s="8">
        <f t="shared" si="8"/>
        <v>0.74995624999999999</v>
      </c>
      <c r="F18" s="8">
        <f t="shared" si="8"/>
        <v>0.75227749999999993</v>
      </c>
      <c r="G18" s="8">
        <f t="shared" si="8"/>
        <v>0.75253541666666668</v>
      </c>
      <c r="H18" s="9">
        <f t="shared" si="8"/>
        <v>0.7553725</v>
      </c>
      <c r="I18" s="8">
        <f t="shared" si="8"/>
        <v>0.75949916666666661</v>
      </c>
      <c r="J18" s="8">
        <f t="shared" si="8"/>
        <v>0.76001499999999989</v>
      </c>
      <c r="K18" s="8">
        <f t="shared" si="8"/>
        <v>0.76078875000000001</v>
      </c>
      <c r="L18" s="8">
        <f t="shared" si="9"/>
        <v>0.76130458333333328</v>
      </c>
      <c r="M18" s="8">
        <f t="shared" si="9"/>
        <v>0.7667208333333333</v>
      </c>
      <c r="N18" s="8">
        <f t="shared" si="9"/>
        <v>0.76801041666666658</v>
      </c>
      <c r="O18" s="8">
        <f t="shared" si="9"/>
        <v>0.76929999999999998</v>
      </c>
      <c r="P18" s="8">
        <f t="shared" si="9"/>
        <v>0.75111516666666667</v>
      </c>
      <c r="Q18" s="8">
        <f t="shared" si="9"/>
        <v>0.73541008333333335</v>
      </c>
      <c r="R18" s="8">
        <f t="shared" si="9"/>
        <v>0.72879741666666664</v>
      </c>
      <c r="S18" s="8">
        <f t="shared" si="9"/>
        <v>0.71970500000000004</v>
      </c>
      <c r="T18" s="8">
        <f t="shared" si="9"/>
        <v>0.71805183333333333</v>
      </c>
      <c r="U18" s="8">
        <f t="shared" si="9"/>
        <v>0.70730625000000003</v>
      </c>
      <c r="V18" s="8">
        <f t="shared" si="9"/>
        <v>0.69656066666666672</v>
      </c>
      <c r="W18" s="8">
        <f t="shared" si="9"/>
        <v>0.69490750000000001</v>
      </c>
      <c r="X18" s="8">
        <f t="shared" si="9"/>
        <v>0.68912141666666671</v>
      </c>
      <c r="Y18" s="8">
        <f t="shared" si="9"/>
        <v>0.68333533333333329</v>
      </c>
      <c r="Z18" s="8">
        <f t="shared" si="9"/>
        <v>0.67010999999999998</v>
      </c>
    </row>
    <row r="19" spans="1:28" x14ac:dyDescent="0.25">
      <c r="A19" s="6">
        <v>25.4</v>
      </c>
      <c r="B19" s="8">
        <f t="shared" si="8"/>
        <v>0.76669999999999994</v>
      </c>
      <c r="C19" s="8">
        <f t="shared" si="8"/>
        <v>0.77521833333333323</v>
      </c>
      <c r="D19" s="8">
        <f t="shared" si="8"/>
        <v>0.77656333333333327</v>
      </c>
      <c r="E19" s="8">
        <f t="shared" si="8"/>
        <v>0.77678749999999996</v>
      </c>
      <c r="F19" s="8">
        <f t="shared" si="8"/>
        <v>0.77880499999999997</v>
      </c>
      <c r="G19" s="8">
        <f t="shared" si="8"/>
        <v>0.77902916666666666</v>
      </c>
      <c r="H19" s="8">
        <f t="shared" si="8"/>
        <v>0.78149499999999994</v>
      </c>
      <c r="I19" s="8">
        <f t="shared" si="8"/>
        <v>0.78508166666666668</v>
      </c>
      <c r="J19" s="8">
        <f t="shared" si="8"/>
        <v>0.78552999999999995</v>
      </c>
      <c r="K19" s="8">
        <f t="shared" si="8"/>
        <v>0.78620249999999992</v>
      </c>
      <c r="L19" s="8">
        <f t="shared" si="9"/>
        <v>0.7866508333333333</v>
      </c>
      <c r="M19" s="8">
        <f t="shared" si="9"/>
        <v>0.79135833333333327</v>
      </c>
      <c r="N19" s="8">
        <f t="shared" si="9"/>
        <v>0.79247916666666662</v>
      </c>
      <c r="O19" s="8">
        <f t="shared" si="9"/>
        <v>0.79359999999999997</v>
      </c>
      <c r="P19" s="8">
        <f t="shared" si="9"/>
        <v>0.77556366666666665</v>
      </c>
      <c r="Q19" s="8">
        <f t="shared" si="9"/>
        <v>0.75998683333333328</v>
      </c>
      <c r="R19" s="8">
        <f t="shared" si="9"/>
        <v>0.75342816666666668</v>
      </c>
      <c r="S19" s="8">
        <f t="shared" si="9"/>
        <v>0.74441000000000002</v>
      </c>
      <c r="T19" s="9">
        <f t="shared" si="9"/>
        <v>0.74277033333333331</v>
      </c>
      <c r="U19" s="8">
        <f t="shared" si="9"/>
        <v>0.73211250000000005</v>
      </c>
      <c r="V19" s="8">
        <f t="shared" si="9"/>
        <v>0.72145466666666669</v>
      </c>
      <c r="W19" s="8">
        <f t="shared" si="9"/>
        <v>0.71981499999999998</v>
      </c>
      <c r="X19" s="8">
        <f t="shared" si="9"/>
        <v>0.71407616666666662</v>
      </c>
      <c r="Y19" s="8">
        <f t="shared" si="9"/>
        <v>0.70833733333333337</v>
      </c>
      <c r="Z19" s="8">
        <f t="shared" si="9"/>
        <v>0.69521999999999995</v>
      </c>
    </row>
    <row r="20" spans="1:28" x14ac:dyDescent="0.25">
      <c r="A20" s="6">
        <v>26</v>
      </c>
      <c r="B20" s="8">
        <f t="shared" si="8"/>
        <v>0.77299999999999991</v>
      </c>
      <c r="C20" s="8">
        <f t="shared" si="8"/>
        <v>0.78123333333333322</v>
      </c>
      <c r="D20" s="8">
        <f t="shared" si="8"/>
        <v>0.7825333333333333</v>
      </c>
      <c r="E20" s="8">
        <f t="shared" si="8"/>
        <v>0.78275000000000006</v>
      </c>
      <c r="F20" s="8">
        <f t="shared" si="8"/>
        <v>0.78469999999999995</v>
      </c>
      <c r="G20" s="8">
        <f t="shared" si="8"/>
        <v>0.7849166666666666</v>
      </c>
      <c r="H20" s="8">
        <f t="shared" si="8"/>
        <v>0.7873</v>
      </c>
      <c r="I20" s="8">
        <f t="shared" si="8"/>
        <v>0.79076666666666662</v>
      </c>
      <c r="J20" s="8">
        <f t="shared" si="8"/>
        <v>0.7911999999999999</v>
      </c>
      <c r="K20" s="8">
        <f t="shared" si="8"/>
        <v>0.79184999999999994</v>
      </c>
      <c r="L20" s="8">
        <f t="shared" si="9"/>
        <v>0.79228333333333334</v>
      </c>
      <c r="M20" s="8">
        <f t="shared" si="9"/>
        <v>0.79683333333333328</v>
      </c>
      <c r="N20" s="8">
        <f t="shared" si="9"/>
        <v>0.79791666666666661</v>
      </c>
      <c r="O20" s="8">
        <f t="shared" si="9"/>
        <v>0.79899999999999993</v>
      </c>
      <c r="P20" s="8">
        <f t="shared" si="9"/>
        <v>0.78099666666666667</v>
      </c>
      <c r="Q20" s="8">
        <f t="shared" si="9"/>
        <v>0.76544833333333329</v>
      </c>
      <c r="R20" s="8">
        <f t="shared" si="9"/>
        <v>0.7589016666666667</v>
      </c>
      <c r="S20" s="8">
        <f t="shared" si="9"/>
        <v>0.74990000000000001</v>
      </c>
      <c r="T20" s="8">
        <f t="shared" si="9"/>
        <v>0.74826333333333328</v>
      </c>
      <c r="U20" s="8">
        <f t="shared" si="9"/>
        <v>0.73762499999999998</v>
      </c>
      <c r="V20" s="8">
        <f t="shared" si="9"/>
        <v>0.72698666666666667</v>
      </c>
      <c r="W20" s="9">
        <f t="shared" si="9"/>
        <v>0.72535000000000005</v>
      </c>
      <c r="X20" s="8">
        <f t="shared" si="9"/>
        <v>0.71962166666666671</v>
      </c>
      <c r="Y20" s="8">
        <f t="shared" si="9"/>
        <v>0.71389333333333338</v>
      </c>
      <c r="Z20" s="8">
        <f t="shared" si="9"/>
        <v>0.70079999999999998</v>
      </c>
    </row>
    <row r="21" spans="1:28" x14ac:dyDescent="0.25">
      <c r="A21" s="3">
        <v>28.6</v>
      </c>
      <c r="B21" s="8">
        <f t="shared" si="8"/>
        <v>0.80030000000000001</v>
      </c>
      <c r="C21" s="8">
        <f t="shared" si="8"/>
        <v>0.80729833333333323</v>
      </c>
      <c r="D21" s="8">
        <f t="shared" si="8"/>
        <v>0.80840333333333325</v>
      </c>
      <c r="E21" s="8">
        <f t="shared" si="8"/>
        <v>0.80858750000000001</v>
      </c>
      <c r="F21" s="8">
        <f t="shared" si="8"/>
        <v>0.81024499999999999</v>
      </c>
      <c r="G21" s="8">
        <f t="shared" si="8"/>
        <v>0.81042916666666664</v>
      </c>
      <c r="H21" s="8">
        <f t="shared" si="8"/>
        <v>0.81245499999999993</v>
      </c>
      <c r="I21" s="9">
        <f t="shared" si="8"/>
        <v>0.81540166666666669</v>
      </c>
      <c r="J21" s="8">
        <f t="shared" si="8"/>
        <v>0.81577</v>
      </c>
      <c r="K21" s="8">
        <f t="shared" si="8"/>
        <v>0.81632249999999995</v>
      </c>
      <c r="L21" s="8">
        <f t="shared" si="9"/>
        <v>0.81669083333333337</v>
      </c>
      <c r="M21" s="8">
        <f t="shared" si="9"/>
        <v>0.82055833333333328</v>
      </c>
      <c r="N21" s="8">
        <f t="shared" si="9"/>
        <v>0.82147916666666665</v>
      </c>
      <c r="O21" s="8">
        <f t="shared" si="9"/>
        <v>0.82240000000000002</v>
      </c>
      <c r="P21" s="8">
        <f t="shared" si="9"/>
        <v>0.80453966666666665</v>
      </c>
      <c r="Q21" s="8">
        <f t="shared" si="9"/>
        <v>0.78911483333333332</v>
      </c>
      <c r="R21" s="8">
        <f t="shared" si="9"/>
        <v>0.78262016666666667</v>
      </c>
      <c r="S21" s="8">
        <f t="shared" si="9"/>
        <v>0.77368999999999999</v>
      </c>
      <c r="T21" s="8">
        <f t="shared" si="9"/>
        <v>0.7720663333333333</v>
      </c>
      <c r="U21" s="8">
        <f t="shared" si="9"/>
        <v>0.76151250000000004</v>
      </c>
      <c r="V21" s="8">
        <f t="shared" si="9"/>
        <v>0.75095866666666677</v>
      </c>
      <c r="W21" s="8">
        <f t="shared" si="9"/>
        <v>0.74933499999999997</v>
      </c>
      <c r="X21" s="8">
        <f t="shared" si="9"/>
        <v>0.74365216666666667</v>
      </c>
      <c r="Y21" s="8">
        <f t="shared" si="9"/>
        <v>0.73796933333333337</v>
      </c>
      <c r="Z21" s="8">
        <f t="shared" si="9"/>
        <v>0.72497999999999996</v>
      </c>
    </row>
    <row r="22" spans="1:28" x14ac:dyDescent="0.25">
      <c r="A22" s="6">
        <v>30</v>
      </c>
      <c r="B22" s="8">
        <f>81.5%</f>
        <v>0.81499999999999995</v>
      </c>
      <c r="C22" s="8">
        <f t="shared" ref="C22:N22" si="10">$B22+(($O22-$B22)/($O$2-$B$2))*(C$2-$B$2)</f>
        <v>0.82133333333333325</v>
      </c>
      <c r="D22" s="8">
        <f t="shared" si="10"/>
        <v>0.82233333333333325</v>
      </c>
      <c r="E22" s="8">
        <f t="shared" si="10"/>
        <v>0.82250000000000001</v>
      </c>
      <c r="F22" s="8">
        <f t="shared" si="10"/>
        <v>0.82399999999999995</v>
      </c>
      <c r="G22" s="8">
        <f t="shared" si="10"/>
        <v>0.8241666666666666</v>
      </c>
      <c r="H22" s="8">
        <f t="shared" si="10"/>
        <v>0.82599999999999996</v>
      </c>
      <c r="I22" s="8">
        <f t="shared" si="10"/>
        <v>0.82866666666666666</v>
      </c>
      <c r="J22" s="8">
        <f t="shared" si="10"/>
        <v>0.82899999999999996</v>
      </c>
      <c r="K22" s="8">
        <f t="shared" si="10"/>
        <v>0.8294999999999999</v>
      </c>
      <c r="L22" s="8">
        <f t="shared" si="10"/>
        <v>0.82983333333333331</v>
      </c>
      <c r="M22" s="8">
        <f t="shared" si="10"/>
        <v>0.83333333333333326</v>
      </c>
      <c r="N22" s="8">
        <f t="shared" si="10"/>
        <v>0.83416666666666661</v>
      </c>
      <c r="O22" s="8">
        <f>83.5%</f>
        <v>0.83499999999999996</v>
      </c>
      <c r="P22" s="8">
        <f t="shared" ref="P22:Y22" si="11">$O22+(($Z22-$O22)/($Z$2-$O$2))*(P$2-$O$2)</f>
        <v>0.81721666666666659</v>
      </c>
      <c r="Q22" s="8">
        <f t="shared" si="11"/>
        <v>0.80185833333333334</v>
      </c>
      <c r="R22" s="8">
        <f t="shared" si="11"/>
        <v>0.79539166666666661</v>
      </c>
      <c r="S22" s="8">
        <f t="shared" si="11"/>
        <v>0.78649999999999998</v>
      </c>
      <c r="T22" s="8">
        <f t="shared" si="11"/>
        <v>0.78488333333333327</v>
      </c>
      <c r="U22" s="8">
        <f t="shared" si="11"/>
        <v>0.77437500000000004</v>
      </c>
      <c r="V22" s="8">
        <f t="shared" si="11"/>
        <v>0.76386666666666669</v>
      </c>
      <c r="W22" s="8">
        <f t="shared" si="11"/>
        <v>0.76224999999999998</v>
      </c>
      <c r="X22" s="8">
        <f t="shared" si="11"/>
        <v>0.75659166666666666</v>
      </c>
      <c r="Y22" s="8">
        <f t="shared" si="11"/>
        <v>0.75093333333333334</v>
      </c>
      <c r="Z22" s="8">
        <f>73.8%</f>
        <v>0.73799999999999999</v>
      </c>
      <c r="AB22" s="7">
        <v>0.7</v>
      </c>
    </row>
    <row r="23" spans="1:28" x14ac:dyDescent="0.25">
      <c r="A23" s="6">
        <v>32.799999999999997</v>
      </c>
      <c r="B23" s="8">
        <f t="shared" ref="B23:K27" si="12">B$22+(B$28-B$22)/($A$28-$A$22)*($A23-$A$22)</f>
        <v>0.82199999999999995</v>
      </c>
      <c r="C23" s="8">
        <f t="shared" si="12"/>
        <v>0.82966333333333331</v>
      </c>
      <c r="D23" s="8">
        <f t="shared" si="12"/>
        <v>0.83087333333333324</v>
      </c>
      <c r="E23" s="8">
        <f t="shared" si="12"/>
        <v>0.83107500000000001</v>
      </c>
      <c r="F23" s="8">
        <f t="shared" si="12"/>
        <v>0.83288999999999991</v>
      </c>
      <c r="G23" s="8">
        <f t="shared" si="12"/>
        <v>0.83309166666666667</v>
      </c>
      <c r="H23" s="8">
        <f t="shared" si="12"/>
        <v>0.83531</v>
      </c>
      <c r="I23" s="8">
        <f t="shared" si="12"/>
        <v>0.83853666666666671</v>
      </c>
      <c r="J23" s="8">
        <f t="shared" si="12"/>
        <v>0.83893999999999991</v>
      </c>
      <c r="K23" s="8">
        <f t="shared" si="12"/>
        <v>0.83954499999999987</v>
      </c>
      <c r="L23" s="8">
        <f t="shared" ref="L23:Z27" si="13">L$22+(L$28-L$22)/($A$28-$A$22)*($A23-$A$22)</f>
        <v>0.8399483333333333</v>
      </c>
      <c r="M23" s="8">
        <f t="shared" si="13"/>
        <v>0.84418333333333329</v>
      </c>
      <c r="N23" s="8">
        <f t="shared" si="13"/>
        <v>0.84519166666666656</v>
      </c>
      <c r="O23" s="8">
        <f t="shared" si="13"/>
        <v>0.84619999999999995</v>
      </c>
      <c r="P23" s="8">
        <f t="shared" si="13"/>
        <v>0.82913533333333322</v>
      </c>
      <c r="Q23" s="8">
        <f t="shared" si="13"/>
        <v>0.81439766666666669</v>
      </c>
      <c r="R23" s="9">
        <f t="shared" si="13"/>
        <v>0.80819233333333329</v>
      </c>
      <c r="S23" s="8">
        <f t="shared" si="13"/>
        <v>0.79965999999999993</v>
      </c>
      <c r="T23" s="8">
        <f t="shared" si="13"/>
        <v>0.79810866666666658</v>
      </c>
      <c r="U23" s="8">
        <f t="shared" si="13"/>
        <v>0.78802499999999998</v>
      </c>
      <c r="V23" s="8">
        <f t="shared" si="13"/>
        <v>0.77794133333333337</v>
      </c>
      <c r="W23" s="8">
        <f t="shared" si="13"/>
        <v>0.77639000000000002</v>
      </c>
      <c r="X23" s="8">
        <f t="shared" si="13"/>
        <v>0.77096033333333336</v>
      </c>
      <c r="Y23" s="8">
        <f t="shared" si="13"/>
        <v>0.76553066666666669</v>
      </c>
      <c r="Z23" s="8">
        <f t="shared" si="13"/>
        <v>0.75312000000000001</v>
      </c>
    </row>
    <row r="24" spans="1:28" x14ac:dyDescent="0.25">
      <c r="A24" s="6">
        <v>33</v>
      </c>
      <c r="B24" s="8">
        <f t="shared" si="12"/>
        <v>0.82250000000000001</v>
      </c>
      <c r="C24" s="8">
        <f t="shared" si="12"/>
        <v>0.83025833333333332</v>
      </c>
      <c r="D24" s="8">
        <f t="shared" si="12"/>
        <v>0.83148333333333324</v>
      </c>
      <c r="E24" s="8">
        <f t="shared" si="12"/>
        <v>0.83168750000000002</v>
      </c>
      <c r="F24" s="8">
        <f t="shared" si="12"/>
        <v>0.83352499999999996</v>
      </c>
      <c r="G24" s="8">
        <f t="shared" si="12"/>
        <v>0.83372916666666663</v>
      </c>
      <c r="H24" s="8">
        <f t="shared" si="12"/>
        <v>0.83597499999999991</v>
      </c>
      <c r="I24" s="8">
        <f t="shared" si="12"/>
        <v>0.83924166666666666</v>
      </c>
      <c r="J24" s="8">
        <f t="shared" si="12"/>
        <v>0.83965000000000001</v>
      </c>
      <c r="K24" s="8">
        <f t="shared" si="12"/>
        <v>0.84026249999999991</v>
      </c>
      <c r="L24" s="8">
        <f t="shared" si="13"/>
        <v>0.84067083333333326</v>
      </c>
      <c r="M24" s="8">
        <f t="shared" si="13"/>
        <v>0.84495833333333326</v>
      </c>
      <c r="N24" s="8">
        <f t="shared" si="13"/>
        <v>0.84597916666666662</v>
      </c>
      <c r="O24" s="8">
        <f t="shared" si="13"/>
        <v>0.84699999999999998</v>
      </c>
      <c r="P24" s="8">
        <f t="shared" si="13"/>
        <v>0.82998666666666665</v>
      </c>
      <c r="Q24" s="9">
        <f t="shared" si="13"/>
        <v>0.81529333333333331</v>
      </c>
      <c r="R24" s="8">
        <f t="shared" si="13"/>
        <v>0.80910666666666664</v>
      </c>
      <c r="S24" s="8">
        <f t="shared" si="13"/>
        <v>0.80059999999999998</v>
      </c>
      <c r="T24" s="8">
        <f t="shared" si="13"/>
        <v>0.79905333333333328</v>
      </c>
      <c r="U24" s="8">
        <f t="shared" si="13"/>
        <v>0.78900000000000003</v>
      </c>
      <c r="V24" s="8">
        <f t="shared" si="13"/>
        <v>0.77894666666666668</v>
      </c>
      <c r="W24" s="8">
        <f t="shared" si="13"/>
        <v>0.77739999999999998</v>
      </c>
      <c r="X24" s="8">
        <f t="shared" si="13"/>
        <v>0.77198666666666671</v>
      </c>
      <c r="Y24" s="8">
        <f t="shared" si="13"/>
        <v>0.76657333333333333</v>
      </c>
      <c r="Z24" s="8">
        <f t="shared" si="13"/>
        <v>0.75419999999999998</v>
      </c>
    </row>
    <row r="25" spans="1:28" x14ac:dyDescent="0.25">
      <c r="A25" s="6">
        <v>33.200000000000003</v>
      </c>
      <c r="B25" s="8">
        <f t="shared" si="12"/>
        <v>0.82299999999999995</v>
      </c>
      <c r="C25" s="8">
        <f t="shared" si="12"/>
        <v>0.83085333333333322</v>
      </c>
      <c r="D25" s="8">
        <f t="shared" si="12"/>
        <v>0.83209333333333324</v>
      </c>
      <c r="E25" s="8">
        <f t="shared" si="12"/>
        <v>0.83230000000000004</v>
      </c>
      <c r="F25" s="8">
        <f t="shared" si="12"/>
        <v>0.83416000000000001</v>
      </c>
      <c r="G25" s="8">
        <f t="shared" si="12"/>
        <v>0.83436666666666659</v>
      </c>
      <c r="H25" s="8">
        <f t="shared" si="12"/>
        <v>0.83663999999999994</v>
      </c>
      <c r="I25" s="8">
        <f t="shared" si="12"/>
        <v>0.83994666666666662</v>
      </c>
      <c r="J25" s="8">
        <f t="shared" si="12"/>
        <v>0.84036</v>
      </c>
      <c r="K25" s="8">
        <f t="shared" si="12"/>
        <v>0.84097999999999995</v>
      </c>
      <c r="L25" s="8">
        <f t="shared" si="13"/>
        <v>0.84139333333333333</v>
      </c>
      <c r="M25" s="8">
        <f t="shared" si="13"/>
        <v>0.84573333333333334</v>
      </c>
      <c r="N25" s="8">
        <f t="shared" si="13"/>
        <v>0.84676666666666667</v>
      </c>
      <c r="O25" s="8">
        <f t="shared" si="13"/>
        <v>0.8478</v>
      </c>
      <c r="P25" s="8">
        <f t="shared" si="13"/>
        <v>0.83083799999999997</v>
      </c>
      <c r="Q25" s="8">
        <f t="shared" si="13"/>
        <v>0.81618900000000005</v>
      </c>
      <c r="R25" s="8">
        <f t="shared" si="13"/>
        <v>0.81002099999999999</v>
      </c>
      <c r="S25" s="8">
        <f t="shared" si="13"/>
        <v>0.80154000000000003</v>
      </c>
      <c r="T25" s="8">
        <f t="shared" si="13"/>
        <v>0.79999799999999999</v>
      </c>
      <c r="U25" s="8">
        <f t="shared" si="13"/>
        <v>0.78997499999999998</v>
      </c>
      <c r="V25" s="8">
        <f t="shared" si="13"/>
        <v>0.77995200000000009</v>
      </c>
      <c r="W25" s="8">
        <f t="shared" si="13"/>
        <v>0.77841000000000005</v>
      </c>
      <c r="X25" s="9">
        <f t="shared" si="13"/>
        <v>0.77301300000000006</v>
      </c>
      <c r="Y25" s="8">
        <f t="shared" si="13"/>
        <v>0.76761600000000008</v>
      </c>
      <c r="Z25" s="8">
        <f t="shared" si="13"/>
        <v>0.75528000000000006</v>
      </c>
    </row>
    <row r="26" spans="1:28" x14ac:dyDescent="0.25">
      <c r="A26" s="6">
        <v>33.6</v>
      </c>
      <c r="B26" s="8">
        <f t="shared" si="12"/>
        <v>0.82399999999999995</v>
      </c>
      <c r="C26" s="8">
        <f t="shared" si="12"/>
        <v>0.83204333333333325</v>
      </c>
      <c r="D26" s="8">
        <f t="shared" si="12"/>
        <v>0.83331333333333324</v>
      </c>
      <c r="E26" s="8">
        <f t="shared" si="12"/>
        <v>0.83352500000000007</v>
      </c>
      <c r="F26" s="8">
        <f t="shared" si="12"/>
        <v>0.83543000000000001</v>
      </c>
      <c r="G26" s="8">
        <f t="shared" si="12"/>
        <v>0.83564166666666662</v>
      </c>
      <c r="H26" s="8">
        <f t="shared" si="12"/>
        <v>0.83796999999999999</v>
      </c>
      <c r="I26" s="8">
        <f t="shared" si="12"/>
        <v>0.84135666666666664</v>
      </c>
      <c r="J26" s="8">
        <f t="shared" si="12"/>
        <v>0.84177999999999997</v>
      </c>
      <c r="K26" s="8">
        <f t="shared" si="12"/>
        <v>0.84241499999999991</v>
      </c>
      <c r="L26" s="8">
        <f t="shared" si="13"/>
        <v>0.84283833333333336</v>
      </c>
      <c r="M26" s="8">
        <f t="shared" si="13"/>
        <v>0.84728333333333328</v>
      </c>
      <c r="N26" s="8">
        <f t="shared" si="13"/>
        <v>0.84834166666666666</v>
      </c>
      <c r="O26" s="8">
        <f t="shared" si="13"/>
        <v>0.84939999999999993</v>
      </c>
      <c r="P26" s="8">
        <f t="shared" si="13"/>
        <v>0.8325406666666666</v>
      </c>
      <c r="Q26" s="8">
        <f t="shared" si="13"/>
        <v>0.81798033333333331</v>
      </c>
      <c r="R26" s="8">
        <f t="shared" si="13"/>
        <v>0.81184966666666669</v>
      </c>
      <c r="S26" s="8">
        <f t="shared" si="13"/>
        <v>0.80342000000000002</v>
      </c>
      <c r="T26" s="8">
        <f t="shared" si="13"/>
        <v>0.80188733333333329</v>
      </c>
      <c r="U26" s="8">
        <f t="shared" si="13"/>
        <v>0.79192499999999999</v>
      </c>
      <c r="V26" s="8">
        <f t="shared" si="13"/>
        <v>0.78196266666666669</v>
      </c>
      <c r="W26" s="8">
        <f t="shared" si="13"/>
        <v>0.78043000000000007</v>
      </c>
      <c r="X26" s="8">
        <f t="shared" si="13"/>
        <v>0.77506566666666665</v>
      </c>
      <c r="Y26" s="8">
        <f t="shared" si="13"/>
        <v>0.76970133333333335</v>
      </c>
      <c r="Z26" s="8">
        <f t="shared" si="13"/>
        <v>0.75744</v>
      </c>
      <c r="AB26" s="9">
        <f>AB$22+(AB$28-AB$22)/($A$28-$A$22)*($A26-$A$22)</f>
        <v>0.73455999999999999</v>
      </c>
    </row>
    <row r="27" spans="1:28" x14ac:dyDescent="0.25">
      <c r="A27" s="6">
        <v>34.6</v>
      </c>
      <c r="B27" s="8">
        <f t="shared" si="12"/>
        <v>0.82650000000000001</v>
      </c>
      <c r="C27" s="8">
        <f t="shared" si="12"/>
        <v>0.83501833333333331</v>
      </c>
      <c r="D27" s="8">
        <f t="shared" si="12"/>
        <v>0.83636333333333335</v>
      </c>
      <c r="E27" s="8">
        <f t="shared" si="12"/>
        <v>0.83658750000000004</v>
      </c>
      <c r="F27" s="8">
        <f t="shared" si="12"/>
        <v>0.83860499999999993</v>
      </c>
      <c r="G27" s="8">
        <f t="shared" si="12"/>
        <v>0.83882916666666663</v>
      </c>
      <c r="H27" s="8">
        <f t="shared" si="12"/>
        <v>0.84129500000000002</v>
      </c>
      <c r="I27" s="8">
        <f t="shared" si="12"/>
        <v>0.84488166666666664</v>
      </c>
      <c r="J27" s="8">
        <f t="shared" si="12"/>
        <v>0.84532999999999991</v>
      </c>
      <c r="K27" s="8">
        <f t="shared" si="12"/>
        <v>0.84600249999999999</v>
      </c>
      <c r="L27" s="8">
        <f t="shared" si="13"/>
        <v>0.84645083333333326</v>
      </c>
      <c r="M27" s="8">
        <f t="shared" si="13"/>
        <v>0.85115833333333324</v>
      </c>
      <c r="N27" s="8">
        <f t="shared" si="13"/>
        <v>0.8522791666666667</v>
      </c>
      <c r="O27" s="8">
        <f t="shared" si="13"/>
        <v>0.85339999999999994</v>
      </c>
      <c r="P27" s="8">
        <f t="shared" si="13"/>
        <v>0.83679733333333328</v>
      </c>
      <c r="Q27" s="8">
        <f t="shared" si="13"/>
        <v>0.82245866666666667</v>
      </c>
      <c r="R27" s="8">
        <f t="shared" si="13"/>
        <v>0.81642133333333333</v>
      </c>
      <c r="S27" s="8">
        <f t="shared" si="13"/>
        <v>0.80811999999999995</v>
      </c>
      <c r="T27" s="8">
        <f t="shared" si="13"/>
        <v>0.8066106666666667</v>
      </c>
      <c r="U27" s="8">
        <f t="shared" si="13"/>
        <v>0.79680000000000006</v>
      </c>
      <c r="V27" s="9">
        <f t="shared" si="13"/>
        <v>0.78698933333333332</v>
      </c>
      <c r="W27" s="8">
        <f t="shared" si="13"/>
        <v>0.78548000000000007</v>
      </c>
      <c r="X27" s="8">
        <f t="shared" si="13"/>
        <v>0.7801973333333333</v>
      </c>
      <c r="Y27" s="8">
        <f t="shared" si="13"/>
        <v>0.77491466666666664</v>
      </c>
      <c r="Z27" s="8">
        <f t="shared" si="13"/>
        <v>0.76283999999999996</v>
      </c>
    </row>
    <row r="28" spans="1:28" x14ac:dyDescent="0.25">
      <c r="A28" s="6">
        <v>40</v>
      </c>
      <c r="B28" s="7">
        <f>84%</f>
        <v>0.84</v>
      </c>
      <c r="C28" s="8">
        <f t="shared" ref="C28:N28" si="14">$B28+(($O28-$B28)/($O$2-$B$2))*(C$2-$B$2)</f>
        <v>0.8510833333333333</v>
      </c>
      <c r="D28" s="8">
        <f t="shared" si="14"/>
        <v>0.85283333333333333</v>
      </c>
      <c r="E28" s="8">
        <f t="shared" si="14"/>
        <v>0.85312500000000002</v>
      </c>
      <c r="F28" s="8">
        <f t="shared" si="14"/>
        <v>0.85575000000000001</v>
      </c>
      <c r="G28" s="8">
        <f t="shared" si="14"/>
        <v>0.8560416666666667</v>
      </c>
      <c r="H28" s="8">
        <f t="shared" si="14"/>
        <v>0.85924999999999996</v>
      </c>
      <c r="I28" s="8">
        <f t="shared" si="14"/>
        <v>0.86391666666666667</v>
      </c>
      <c r="J28" s="8">
        <f t="shared" si="14"/>
        <v>0.86449999999999994</v>
      </c>
      <c r="K28" s="8">
        <f t="shared" si="14"/>
        <v>0.86537500000000001</v>
      </c>
      <c r="L28" s="8">
        <f t="shared" si="14"/>
        <v>0.86595833333333327</v>
      </c>
      <c r="M28" s="8">
        <f t="shared" si="14"/>
        <v>0.87208333333333332</v>
      </c>
      <c r="N28" s="8">
        <f t="shared" si="14"/>
        <v>0.87354166666666666</v>
      </c>
      <c r="O28" s="8">
        <f>87.5%</f>
        <v>0.875</v>
      </c>
      <c r="P28" s="8">
        <f t="shared" ref="P28:Y28" si="15">$O28+(($Z28-$O28)/($Z$2-$O$2))*(P$2-$O$2)</f>
        <v>0.85978333333333334</v>
      </c>
      <c r="Q28" s="8">
        <f t="shared" si="15"/>
        <v>0.84664166666666663</v>
      </c>
      <c r="R28" s="8">
        <f t="shared" si="15"/>
        <v>0.84110833333333335</v>
      </c>
      <c r="S28" s="8">
        <f t="shared" si="15"/>
        <v>0.83350000000000002</v>
      </c>
      <c r="T28" s="8">
        <f t="shared" si="15"/>
        <v>0.83211666666666673</v>
      </c>
      <c r="U28" s="8">
        <f t="shared" si="15"/>
        <v>0.823125</v>
      </c>
      <c r="V28" s="8">
        <f t="shared" si="15"/>
        <v>0.81413333333333338</v>
      </c>
      <c r="W28" s="8">
        <f t="shared" si="15"/>
        <v>0.81275000000000008</v>
      </c>
      <c r="X28" s="8">
        <f t="shared" si="15"/>
        <v>0.80790833333333334</v>
      </c>
      <c r="Y28" s="8">
        <f t="shared" si="15"/>
        <v>0.80306666666666671</v>
      </c>
      <c r="Z28" s="8">
        <f>79.2%</f>
        <v>0.79200000000000004</v>
      </c>
      <c r="AB28" s="8">
        <v>0.79600000000000004</v>
      </c>
    </row>
    <row r="29" spans="1:28" x14ac:dyDescent="0.25">
      <c r="A29" s="6">
        <v>48.9</v>
      </c>
      <c r="B29" s="8">
        <f t="shared" ref="B29:K30" si="16">B$28+(B$31-B$28)/($A$31-$A$28)*($A29-$A$28)</f>
        <v>0.84889999999999999</v>
      </c>
      <c r="C29" s="8">
        <f t="shared" si="16"/>
        <v>0.86421083333333337</v>
      </c>
      <c r="D29" s="8">
        <f t="shared" si="16"/>
        <v>0.86662833333333333</v>
      </c>
      <c r="E29" s="8">
        <f t="shared" si="16"/>
        <v>0.86703125000000003</v>
      </c>
      <c r="F29" s="8">
        <f t="shared" si="16"/>
        <v>0.87065749999999997</v>
      </c>
      <c r="G29" s="8">
        <f t="shared" si="16"/>
        <v>0.87106041666666667</v>
      </c>
      <c r="H29" s="8">
        <f t="shared" si="16"/>
        <v>0.87549250000000001</v>
      </c>
      <c r="I29" s="8">
        <f t="shared" si="16"/>
        <v>0.88193916666666661</v>
      </c>
      <c r="J29" s="8">
        <f t="shared" si="16"/>
        <v>0.882745</v>
      </c>
      <c r="K29" s="8">
        <f t="shared" si="16"/>
        <v>0.88395374999999998</v>
      </c>
      <c r="L29" s="8">
        <f t="shared" ref="L29:Z30" si="17">L$28+(L$31-L$28)/($A$31-$A$28)*($A29-$A$28)</f>
        <v>0.88475958333333338</v>
      </c>
      <c r="M29" s="8">
        <f t="shared" si="17"/>
        <v>0.89322083333333335</v>
      </c>
      <c r="N29" s="8">
        <f t="shared" si="17"/>
        <v>0.89523541666666673</v>
      </c>
      <c r="O29" s="8">
        <f t="shared" si="17"/>
        <v>0.89724999999999999</v>
      </c>
      <c r="P29" s="8">
        <f t="shared" si="17"/>
        <v>0.88333866666666661</v>
      </c>
      <c r="Q29" s="8">
        <f t="shared" si="17"/>
        <v>0.87132433333333337</v>
      </c>
      <c r="R29" s="8">
        <f t="shared" si="17"/>
        <v>0.86626566666666671</v>
      </c>
      <c r="S29" s="8">
        <f t="shared" si="17"/>
        <v>0.85931000000000002</v>
      </c>
      <c r="T29" s="8">
        <f t="shared" si="17"/>
        <v>0.85804533333333333</v>
      </c>
      <c r="U29" s="8">
        <f t="shared" si="17"/>
        <v>0.84982500000000005</v>
      </c>
      <c r="V29" s="8">
        <f t="shared" si="17"/>
        <v>0.84160466666666667</v>
      </c>
      <c r="W29" s="8">
        <f t="shared" si="17"/>
        <v>0.84033999999999998</v>
      </c>
      <c r="X29" s="8">
        <f t="shared" si="17"/>
        <v>0.83591366666666667</v>
      </c>
      <c r="Y29" s="8">
        <f t="shared" si="17"/>
        <v>0.83148733333333325</v>
      </c>
      <c r="Z29" s="8">
        <f t="shared" si="17"/>
        <v>0.82136999999999993</v>
      </c>
    </row>
    <row r="30" spans="1:28" x14ac:dyDescent="0.25">
      <c r="A30" s="6">
        <v>48.9</v>
      </c>
      <c r="B30" s="8">
        <f t="shared" si="16"/>
        <v>0.84889999999999999</v>
      </c>
      <c r="C30" s="8">
        <f t="shared" si="16"/>
        <v>0.86421083333333337</v>
      </c>
      <c r="D30" s="8">
        <f t="shared" si="16"/>
        <v>0.86662833333333333</v>
      </c>
      <c r="E30" s="8">
        <f t="shared" si="16"/>
        <v>0.86703125000000003</v>
      </c>
      <c r="F30" s="8">
        <f t="shared" si="16"/>
        <v>0.87065749999999997</v>
      </c>
      <c r="G30" s="8">
        <f t="shared" si="16"/>
        <v>0.87106041666666667</v>
      </c>
      <c r="H30" s="8">
        <f t="shared" si="16"/>
        <v>0.87549250000000001</v>
      </c>
      <c r="I30" s="8">
        <f t="shared" si="16"/>
        <v>0.88193916666666661</v>
      </c>
      <c r="J30" s="8">
        <f t="shared" si="16"/>
        <v>0.882745</v>
      </c>
      <c r="K30" s="8">
        <f t="shared" si="16"/>
        <v>0.88395374999999998</v>
      </c>
      <c r="L30" s="8">
        <f t="shared" si="17"/>
        <v>0.88475958333333338</v>
      </c>
      <c r="M30" s="8">
        <f t="shared" si="17"/>
        <v>0.89322083333333335</v>
      </c>
      <c r="N30" s="8">
        <f t="shared" si="17"/>
        <v>0.89523541666666673</v>
      </c>
      <c r="O30" s="8">
        <f t="shared" si="17"/>
        <v>0.89724999999999999</v>
      </c>
      <c r="P30" s="9">
        <f t="shared" si="17"/>
        <v>0.88333866666666661</v>
      </c>
      <c r="Q30" s="8">
        <f t="shared" si="17"/>
        <v>0.87132433333333337</v>
      </c>
      <c r="R30" s="8">
        <f t="shared" si="17"/>
        <v>0.86626566666666671</v>
      </c>
      <c r="S30" s="8">
        <f t="shared" si="17"/>
        <v>0.85931000000000002</v>
      </c>
      <c r="T30" s="8">
        <f t="shared" si="17"/>
        <v>0.85804533333333333</v>
      </c>
      <c r="U30" s="8">
        <f t="shared" si="17"/>
        <v>0.84982500000000005</v>
      </c>
      <c r="V30" s="8">
        <f t="shared" si="17"/>
        <v>0.84160466666666667</v>
      </c>
      <c r="W30" s="8">
        <f t="shared" si="17"/>
        <v>0.84033999999999998</v>
      </c>
      <c r="X30" s="8">
        <f t="shared" si="17"/>
        <v>0.83591366666666667</v>
      </c>
      <c r="Y30" s="8">
        <f t="shared" si="17"/>
        <v>0.83148733333333325</v>
      </c>
      <c r="Z30" s="8">
        <f t="shared" si="17"/>
        <v>0.82136999999999993</v>
      </c>
    </row>
    <row r="31" spans="1:28" x14ac:dyDescent="0.25">
      <c r="A31" s="6">
        <v>50</v>
      </c>
      <c r="B31" s="7">
        <f>85%</f>
        <v>0.85</v>
      </c>
      <c r="C31" s="8">
        <f t="shared" ref="C31:N36" si="18">$B31+(($O31-$B31)/($O$2-$B$2))*(C$2-$B$2)</f>
        <v>0.86583333333333334</v>
      </c>
      <c r="D31" s="8">
        <f t="shared" si="18"/>
        <v>0.86833333333333329</v>
      </c>
      <c r="E31" s="8">
        <f t="shared" si="18"/>
        <v>0.86875000000000002</v>
      </c>
      <c r="F31" s="8">
        <f t="shared" si="18"/>
        <v>0.87249999999999994</v>
      </c>
      <c r="G31" s="8">
        <f t="shared" si="18"/>
        <v>0.87291666666666667</v>
      </c>
      <c r="H31" s="8">
        <f t="shared" si="18"/>
        <v>0.87750000000000006</v>
      </c>
      <c r="I31" s="8">
        <f t="shared" si="18"/>
        <v>0.88416666666666666</v>
      </c>
      <c r="J31" s="8">
        <f t="shared" si="18"/>
        <v>0.88500000000000001</v>
      </c>
      <c r="K31" s="8">
        <f t="shared" si="18"/>
        <v>0.88624999999999998</v>
      </c>
      <c r="L31" s="8">
        <f t="shared" si="18"/>
        <v>0.88708333333333333</v>
      </c>
      <c r="M31" s="8">
        <f t="shared" si="18"/>
        <v>0.89583333333333337</v>
      </c>
      <c r="N31" s="8">
        <f t="shared" si="18"/>
        <v>0.8979166666666667</v>
      </c>
      <c r="O31" s="7">
        <f>90%</f>
        <v>0.9</v>
      </c>
      <c r="P31" s="8">
        <f t="shared" ref="P31:Y36" si="19">$O31+(($Z31-$O31)/($Z$2-$O$2))*(P$2-$O$2)</f>
        <v>0.88624999999999998</v>
      </c>
      <c r="Q31" s="8">
        <f t="shared" si="19"/>
        <v>0.87437500000000001</v>
      </c>
      <c r="R31" s="8">
        <f t="shared" si="19"/>
        <v>0.86937500000000001</v>
      </c>
      <c r="S31" s="8">
        <f t="shared" si="19"/>
        <v>0.86250000000000004</v>
      </c>
      <c r="T31" s="8">
        <f t="shared" si="19"/>
        <v>0.86124999999999996</v>
      </c>
      <c r="U31" s="8">
        <f t="shared" si="19"/>
        <v>0.85312500000000002</v>
      </c>
      <c r="V31" s="8">
        <f t="shared" si="19"/>
        <v>0.84499999999999997</v>
      </c>
      <c r="W31" s="8">
        <f t="shared" si="19"/>
        <v>0.84375</v>
      </c>
      <c r="X31" s="8">
        <f t="shared" si="19"/>
        <v>0.83937499999999998</v>
      </c>
      <c r="Y31" s="8">
        <f t="shared" si="19"/>
        <v>0.83499999999999996</v>
      </c>
      <c r="Z31" s="8">
        <f>82.5%</f>
        <v>0.82499999999999996</v>
      </c>
    </row>
    <row r="32" spans="1:28" x14ac:dyDescent="0.25">
      <c r="A32" s="6">
        <v>60</v>
      </c>
      <c r="B32" s="8">
        <f>85.8%</f>
        <v>0.85799999999999998</v>
      </c>
      <c r="C32" s="8">
        <f t="shared" si="18"/>
        <v>0.87351666666666672</v>
      </c>
      <c r="D32" s="8">
        <f t="shared" si="18"/>
        <v>0.87596666666666667</v>
      </c>
      <c r="E32" s="8">
        <f t="shared" si="18"/>
        <v>0.87637500000000002</v>
      </c>
      <c r="F32" s="8">
        <f t="shared" si="18"/>
        <v>0.88005</v>
      </c>
      <c r="G32" s="8">
        <f t="shared" si="18"/>
        <v>0.88045833333333334</v>
      </c>
      <c r="H32" s="8">
        <f t="shared" si="18"/>
        <v>0.88495000000000001</v>
      </c>
      <c r="I32" s="8">
        <f t="shared" si="18"/>
        <v>0.89148333333333341</v>
      </c>
      <c r="J32" s="8">
        <f t="shared" si="18"/>
        <v>0.89229999999999998</v>
      </c>
      <c r="K32" s="8">
        <f t="shared" si="18"/>
        <v>0.89352500000000001</v>
      </c>
      <c r="L32" s="8">
        <f t="shared" si="18"/>
        <v>0.8943416666666667</v>
      </c>
      <c r="M32" s="8">
        <f t="shared" si="18"/>
        <v>0.9029166666666667</v>
      </c>
      <c r="N32" s="8">
        <f t="shared" si="18"/>
        <v>0.90495833333333331</v>
      </c>
      <c r="O32" s="8">
        <f>90.7%</f>
        <v>0.90700000000000003</v>
      </c>
      <c r="P32" s="8">
        <f t="shared" si="19"/>
        <v>0.89581666666666671</v>
      </c>
      <c r="Q32" s="8">
        <f t="shared" si="19"/>
        <v>0.88615833333333338</v>
      </c>
      <c r="R32" s="8">
        <f t="shared" si="19"/>
        <v>0.88209166666666672</v>
      </c>
      <c r="S32" s="8">
        <f t="shared" si="19"/>
        <v>0.87650000000000006</v>
      </c>
      <c r="T32" s="8">
        <f t="shared" si="19"/>
        <v>0.87548333333333339</v>
      </c>
      <c r="U32" s="8">
        <f t="shared" si="19"/>
        <v>0.86887499999999995</v>
      </c>
      <c r="V32" s="8">
        <f t="shared" si="19"/>
        <v>0.86226666666666663</v>
      </c>
      <c r="W32" s="8">
        <f t="shared" si="19"/>
        <v>0.86124999999999996</v>
      </c>
      <c r="X32" s="8">
        <f t="shared" si="19"/>
        <v>0.85769166666666663</v>
      </c>
      <c r="Y32" s="8">
        <f t="shared" si="19"/>
        <v>0.8541333333333333</v>
      </c>
      <c r="Z32" s="8">
        <f>84.6%</f>
        <v>0.84599999999999997</v>
      </c>
    </row>
    <row r="33" spans="1:26" x14ac:dyDescent="0.25">
      <c r="A33" s="6">
        <v>70</v>
      </c>
      <c r="B33" s="7">
        <f>86%</f>
        <v>0.86</v>
      </c>
      <c r="C33" s="8">
        <f t="shared" si="18"/>
        <v>0.87583333333333335</v>
      </c>
      <c r="D33" s="8">
        <f t="shared" si="18"/>
        <v>0.8783333333333333</v>
      </c>
      <c r="E33" s="8">
        <f t="shared" si="18"/>
        <v>0.87875000000000003</v>
      </c>
      <c r="F33" s="8">
        <f t="shared" si="18"/>
        <v>0.88249999999999995</v>
      </c>
      <c r="G33" s="8">
        <f t="shared" si="18"/>
        <v>0.88291666666666668</v>
      </c>
      <c r="H33" s="8">
        <f t="shared" si="18"/>
        <v>0.88750000000000007</v>
      </c>
      <c r="I33" s="8">
        <f t="shared" si="18"/>
        <v>0.89416666666666667</v>
      </c>
      <c r="J33" s="8">
        <f t="shared" si="18"/>
        <v>0.89500000000000002</v>
      </c>
      <c r="K33" s="8">
        <f t="shared" si="18"/>
        <v>0.89624999999999999</v>
      </c>
      <c r="L33" s="8">
        <f t="shared" si="18"/>
        <v>0.89708333333333334</v>
      </c>
      <c r="M33" s="8">
        <f t="shared" si="18"/>
        <v>0.90583333333333338</v>
      </c>
      <c r="N33" s="8">
        <f t="shared" si="18"/>
        <v>0.90791666666666671</v>
      </c>
      <c r="O33" s="7">
        <f>91%</f>
        <v>0.91</v>
      </c>
      <c r="P33" s="8">
        <f t="shared" si="19"/>
        <v>0.9012</v>
      </c>
      <c r="Q33" s="8">
        <f t="shared" si="19"/>
        <v>0.89360000000000006</v>
      </c>
      <c r="R33" s="8">
        <f t="shared" si="19"/>
        <v>0.89039999999999997</v>
      </c>
      <c r="S33" s="8">
        <f t="shared" si="19"/>
        <v>0.88600000000000001</v>
      </c>
      <c r="T33" s="8">
        <f t="shared" si="19"/>
        <v>0.88519999999999999</v>
      </c>
      <c r="U33" s="8">
        <f t="shared" si="19"/>
        <v>0.88</v>
      </c>
      <c r="V33" s="8">
        <f t="shared" si="19"/>
        <v>0.87480000000000002</v>
      </c>
      <c r="W33" s="8">
        <f t="shared" si="19"/>
        <v>0.874</v>
      </c>
      <c r="X33" s="8">
        <f t="shared" si="19"/>
        <v>0.87119999999999997</v>
      </c>
      <c r="Y33" s="8">
        <f t="shared" si="19"/>
        <v>0.86839999999999995</v>
      </c>
      <c r="Z33" s="8">
        <f>86.2%</f>
        <v>0.86199999999999999</v>
      </c>
    </row>
    <row r="34" spans="1:26" x14ac:dyDescent="0.25">
      <c r="A34" s="6">
        <v>80</v>
      </c>
      <c r="B34" s="8">
        <f>86.1%</f>
        <v>0.86099999999999999</v>
      </c>
      <c r="C34" s="8">
        <f t="shared" si="18"/>
        <v>0.87683333333333335</v>
      </c>
      <c r="D34" s="8">
        <f t="shared" si="18"/>
        <v>0.8793333333333333</v>
      </c>
      <c r="E34" s="8">
        <f t="shared" si="18"/>
        <v>0.87974999999999992</v>
      </c>
      <c r="F34" s="8">
        <f t="shared" si="18"/>
        <v>0.88349999999999995</v>
      </c>
      <c r="G34" s="8">
        <f t="shared" si="18"/>
        <v>0.88391666666666657</v>
      </c>
      <c r="H34" s="8">
        <f t="shared" si="18"/>
        <v>0.88849999999999996</v>
      </c>
      <c r="I34" s="8">
        <f t="shared" si="18"/>
        <v>0.89516666666666667</v>
      </c>
      <c r="J34" s="8">
        <f t="shared" si="18"/>
        <v>0.89599999999999991</v>
      </c>
      <c r="K34" s="8">
        <f t="shared" si="18"/>
        <v>0.89724999999999988</v>
      </c>
      <c r="L34" s="8">
        <f t="shared" si="18"/>
        <v>0.89808333333333323</v>
      </c>
      <c r="M34" s="8">
        <f t="shared" si="18"/>
        <v>0.90683333333333327</v>
      </c>
      <c r="N34" s="8">
        <f t="shared" si="18"/>
        <v>0.9089166666666666</v>
      </c>
      <c r="O34" s="8">
        <f>91.1%</f>
        <v>0.91099999999999992</v>
      </c>
      <c r="P34" s="8">
        <f t="shared" si="19"/>
        <v>0.90458333333333329</v>
      </c>
      <c r="Q34" s="8">
        <f t="shared" si="19"/>
        <v>0.89904166666666652</v>
      </c>
      <c r="R34" s="8">
        <f t="shared" si="19"/>
        <v>0.89670833333333322</v>
      </c>
      <c r="S34" s="8">
        <f t="shared" si="19"/>
        <v>0.89349999999999996</v>
      </c>
      <c r="T34" s="8">
        <f t="shared" si="19"/>
        <v>0.89291666666666658</v>
      </c>
      <c r="U34" s="8">
        <f t="shared" si="19"/>
        <v>0.88912499999999994</v>
      </c>
      <c r="V34" s="8">
        <f t="shared" si="19"/>
        <v>0.88533333333333319</v>
      </c>
      <c r="W34" s="8">
        <f t="shared" si="19"/>
        <v>0.88474999999999993</v>
      </c>
      <c r="X34" s="8">
        <f t="shared" si="19"/>
        <v>0.88270833333333321</v>
      </c>
      <c r="Y34" s="8">
        <f t="shared" si="19"/>
        <v>0.8806666666666666</v>
      </c>
      <c r="Z34" s="8">
        <f>87.6%</f>
        <v>0.87599999999999989</v>
      </c>
    </row>
    <row r="35" spans="1:26" x14ac:dyDescent="0.25">
      <c r="A35" s="6">
        <v>90</v>
      </c>
      <c r="B35" s="8">
        <f>86.1%</f>
        <v>0.86099999999999999</v>
      </c>
      <c r="C35" s="8">
        <f t="shared" si="18"/>
        <v>0.87683333333333335</v>
      </c>
      <c r="D35" s="8">
        <f t="shared" si="18"/>
        <v>0.8793333333333333</v>
      </c>
      <c r="E35" s="8">
        <f t="shared" si="18"/>
        <v>0.87974999999999992</v>
      </c>
      <c r="F35" s="8">
        <f t="shared" si="18"/>
        <v>0.88349999999999995</v>
      </c>
      <c r="G35" s="8">
        <f t="shared" si="18"/>
        <v>0.88391666666666657</v>
      </c>
      <c r="H35" s="8">
        <f t="shared" si="18"/>
        <v>0.88849999999999996</v>
      </c>
      <c r="I35" s="8">
        <f t="shared" si="18"/>
        <v>0.89516666666666667</v>
      </c>
      <c r="J35" s="8">
        <f t="shared" si="18"/>
        <v>0.89599999999999991</v>
      </c>
      <c r="K35" s="8">
        <f t="shared" si="18"/>
        <v>0.89724999999999988</v>
      </c>
      <c r="L35" s="8">
        <f t="shared" si="18"/>
        <v>0.89808333333333323</v>
      </c>
      <c r="M35" s="8">
        <f t="shared" si="18"/>
        <v>0.90683333333333327</v>
      </c>
      <c r="N35" s="8">
        <f t="shared" si="18"/>
        <v>0.9089166666666666</v>
      </c>
      <c r="O35" s="8">
        <f>91.1%</f>
        <v>0.91099999999999992</v>
      </c>
      <c r="P35" s="8">
        <f t="shared" si="19"/>
        <v>0.90659999999999996</v>
      </c>
      <c r="Q35" s="8">
        <f t="shared" si="19"/>
        <v>0.90279999999999994</v>
      </c>
      <c r="R35" s="8">
        <f t="shared" si="19"/>
        <v>0.9012</v>
      </c>
      <c r="S35" s="8">
        <f t="shared" si="19"/>
        <v>0.89900000000000002</v>
      </c>
      <c r="T35" s="8">
        <f t="shared" si="19"/>
        <v>0.89859999999999995</v>
      </c>
      <c r="U35" s="8">
        <f t="shared" si="19"/>
        <v>0.89600000000000002</v>
      </c>
      <c r="V35" s="8">
        <f t="shared" si="19"/>
        <v>0.89339999999999997</v>
      </c>
      <c r="W35" s="8">
        <f t="shared" si="19"/>
        <v>0.89300000000000002</v>
      </c>
      <c r="X35" s="8">
        <f t="shared" si="19"/>
        <v>0.89159999999999995</v>
      </c>
      <c r="Y35" s="8">
        <f t="shared" si="19"/>
        <v>0.89019999999999999</v>
      </c>
      <c r="Z35" s="8">
        <f>88.7%</f>
        <v>0.88700000000000001</v>
      </c>
    </row>
    <row r="36" spans="1:26" x14ac:dyDescent="0.25">
      <c r="A36" s="6">
        <v>100</v>
      </c>
      <c r="B36" s="7">
        <f>86%</f>
        <v>0.86</v>
      </c>
      <c r="C36" s="8">
        <f t="shared" si="18"/>
        <v>0.87583333333333335</v>
      </c>
      <c r="D36" s="8">
        <f t="shared" si="18"/>
        <v>0.8783333333333333</v>
      </c>
      <c r="E36" s="8">
        <f t="shared" si="18"/>
        <v>0.87875000000000003</v>
      </c>
      <c r="F36" s="8">
        <f t="shared" si="18"/>
        <v>0.88249999999999995</v>
      </c>
      <c r="G36" s="8">
        <f t="shared" si="18"/>
        <v>0.88291666666666668</v>
      </c>
      <c r="H36" s="8">
        <f t="shared" si="18"/>
        <v>0.88750000000000007</v>
      </c>
      <c r="I36" s="8">
        <f t="shared" si="18"/>
        <v>0.89416666666666667</v>
      </c>
      <c r="J36" s="8">
        <f t="shared" si="18"/>
        <v>0.89500000000000002</v>
      </c>
      <c r="K36" s="8">
        <f t="shared" si="18"/>
        <v>0.89624999999999999</v>
      </c>
      <c r="L36" s="8">
        <f t="shared" si="18"/>
        <v>0.89708333333333334</v>
      </c>
      <c r="M36" s="8">
        <f t="shared" si="18"/>
        <v>0.90583333333333338</v>
      </c>
      <c r="N36" s="8">
        <f t="shared" si="18"/>
        <v>0.90791666666666671</v>
      </c>
      <c r="O36" s="7">
        <f>91%</f>
        <v>0.91</v>
      </c>
      <c r="P36" s="8">
        <f t="shared" si="19"/>
        <v>0.90761666666666674</v>
      </c>
      <c r="Q36" s="8">
        <f t="shared" si="19"/>
        <v>0.90555833333333335</v>
      </c>
      <c r="R36" s="8">
        <f t="shared" si="19"/>
        <v>0.90469166666666667</v>
      </c>
      <c r="S36" s="8">
        <f t="shared" si="19"/>
        <v>0.90349999999999997</v>
      </c>
      <c r="T36" s="8">
        <f t="shared" si="19"/>
        <v>0.90328333333333333</v>
      </c>
      <c r="U36" s="8">
        <f t="shared" si="19"/>
        <v>0.90187499999999998</v>
      </c>
      <c r="V36" s="8">
        <f t="shared" si="19"/>
        <v>0.90046666666666664</v>
      </c>
      <c r="W36" s="8">
        <f t="shared" si="19"/>
        <v>0.90024999999999999</v>
      </c>
      <c r="X36" s="8">
        <f t="shared" si="19"/>
        <v>0.89949166666666669</v>
      </c>
      <c r="Y36" s="8">
        <f t="shared" si="19"/>
        <v>0.89873333333333338</v>
      </c>
      <c r="Z36" s="8">
        <f>89.7%</f>
        <v>0.89700000000000002</v>
      </c>
    </row>
    <row r="52" spans="10:38" x14ac:dyDescent="0.25">
      <c r="J52" s="7"/>
      <c r="O52" s="7"/>
      <c r="W52" s="8"/>
      <c r="AD52" s="7"/>
      <c r="AG52" s="7"/>
      <c r="AH52" s="8"/>
      <c r="AI52" s="7"/>
      <c r="AJ52" s="8"/>
      <c r="AK52" s="8"/>
      <c r="AL52" s="7"/>
    </row>
    <row r="65" spans="36:38" x14ac:dyDescent="0.25">
      <c r="AJ65" s="8"/>
      <c r="AK65" s="8"/>
      <c r="AL65" s="7"/>
    </row>
    <row r="76" spans="36:38" x14ac:dyDescent="0.25">
      <c r="AJ76" s="8"/>
      <c r="AK76" s="8"/>
      <c r="AL76" s="8"/>
    </row>
  </sheetData>
  <sortState xmlns:xlrd2="http://schemas.microsoft.com/office/spreadsheetml/2017/richdata2" ref="C52:AL77">
    <sortCondition ref="C52:C77"/>
  </sortState>
  <mergeCells count="1">
    <mergeCell ref="AE2:AG2"/>
  </mergeCells>
  <conditionalFormatting sqref="B3:AB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3908-E157-4FD8-B5D4-A33BA92E6C09}">
  <dimension ref="A1:S33"/>
  <sheetViews>
    <sheetView topLeftCell="B1" zoomScaleNormal="100" workbookViewId="0">
      <selection activeCell="R11" sqref="R11"/>
    </sheetView>
  </sheetViews>
  <sheetFormatPr defaultRowHeight="15" x14ac:dyDescent="0.25"/>
  <cols>
    <col min="1" max="1" width="4.5703125" customWidth="1"/>
    <col min="7" max="8" width="8.85546875" style="6"/>
    <col min="16" max="16" width="9.140625" bestFit="1" customWidth="1"/>
  </cols>
  <sheetData>
    <row r="1" spans="1:19" ht="15.75" x14ac:dyDescent="0.25">
      <c r="B1" s="15" t="s">
        <v>36</v>
      </c>
    </row>
    <row r="3" spans="1:19" x14ac:dyDescent="0.25">
      <c r="A3" s="2"/>
      <c r="B3" s="12" t="s">
        <v>23</v>
      </c>
      <c r="C3" s="12"/>
      <c r="D3" s="12"/>
      <c r="E3" s="12"/>
      <c r="F3" s="12"/>
      <c r="G3" s="12"/>
      <c r="H3" s="12"/>
      <c r="K3" t="s">
        <v>16</v>
      </c>
    </row>
    <row r="4" spans="1:19" x14ac:dyDescent="0.25">
      <c r="A4" s="2"/>
      <c r="B4" t="s">
        <v>22</v>
      </c>
      <c r="C4" t="s">
        <v>5</v>
      </c>
      <c r="D4" t="s">
        <v>2</v>
      </c>
      <c r="E4" t="s">
        <v>2</v>
      </c>
      <c r="F4" t="s">
        <v>6</v>
      </c>
      <c r="G4" s="6" t="s">
        <v>12</v>
      </c>
      <c r="H4" s="6" t="s">
        <v>13</v>
      </c>
      <c r="I4" t="s">
        <v>26</v>
      </c>
      <c r="J4" t="s">
        <v>19</v>
      </c>
      <c r="K4" t="s">
        <v>15</v>
      </c>
      <c r="L4" t="s">
        <v>17</v>
      </c>
      <c r="M4" t="s">
        <v>19</v>
      </c>
      <c r="N4" t="s">
        <v>42</v>
      </c>
      <c r="O4" t="s">
        <v>43</v>
      </c>
    </row>
    <row r="5" spans="1:19" x14ac:dyDescent="0.25">
      <c r="A5" s="2" t="s">
        <v>0</v>
      </c>
      <c r="B5" t="s">
        <v>3</v>
      </c>
      <c r="C5" t="s">
        <v>4</v>
      </c>
      <c r="D5" t="s">
        <v>1</v>
      </c>
      <c r="E5" t="s">
        <v>9</v>
      </c>
      <c r="F5" t="s">
        <v>8</v>
      </c>
      <c r="G5" s="6" t="s">
        <v>10</v>
      </c>
      <c r="H5" s="6" t="s">
        <v>11</v>
      </c>
      <c r="I5" t="s">
        <v>25</v>
      </c>
      <c r="J5" t="s">
        <v>18</v>
      </c>
      <c r="K5" t="s">
        <v>14</v>
      </c>
      <c r="L5" t="s">
        <v>44</v>
      </c>
      <c r="M5" t="s">
        <v>20</v>
      </c>
      <c r="N5" t="s">
        <v>45</v>
      </c>
      <c r="O5" t="s">
        <v>50</v>
      </c>
      <c r="Q5" s="13"/>
      <c r="R5" s="13"/>
      <c r="S5" s="13"/>
    </row>
    <row r="6" spans="1:19" x14ac:dyDescent="0.25">
      <c r="A6" s="2">
        <v>1</v>
      </c>
      <c r="B6">
        <v>1</v>
      </c>
      <c r="C6" t="s">
        <v>21</v>
      </c>
      <c r="D6">
        <v>2497</v>
      </c>
      <c r="E6">
        <v>2490</v>
      </c>
      <c r="F6">
        <v>120</v>
      </c>
      <c r="G6" s="6">
        <v>16.5</v>
      </c>
      <c r="H6" s="6">
        <v>8.8000000000000007</v>
      </c>
      <c r="I6">
        <f>(D6-E6)/F6</f>
        <v>5.8333333333333334E-2</v>
      </c>
      <c r="J6">
        <f>G6*H6/1000</f>
        <v>0.14520000000000002</v>
      </c>
      <c r="K6">
        <f>G6*71*(16/15)</f>
        <v>1249.5999999999999</v>
      </c>
      <c r="L6" s="10">
        <v>0.41690000000000005</v>
      </c>
      <c r="M6">
        <f>J6/L6</f>
        <v>0.34828496042216361</v>
      </c>
      <c r="N6">
        <f>(M6*1000)/(K6*2*PI()/60)</f>
        <v>2.6615528035732625</v>
      </c>
      <c r="O6">
        <f>I6*3600/M6</f>
        <v>602.95454545454538</v>
      </c>
      <c r="Q6" s="6"/>
      <c r="R6" s="6"/>
      <c r="S6" s="6"/>
    </row>
    <row r="7" spans="1:19" x14ac:dyDescent="0.25">
      <c r="A7" s="2">
        <v>2</v>
      </c>
      <c r="B7">
        <v>2</v>
      </c>
      <c r="C7" t="s">
        <v>21</v>
      </c>
      <c r="D7">
        <v>2487</v>
      </c>
      <c r="E7">
        <v>2476</v>
      </c>
      <c r="F7">
        <v>120</v>
      </c>
      <c r="G7" s="6">
        <v>23.5</v>
      </c>
      <c r="H7" s="6">
        <v>20.5</v>
      </c>
      <c r="I7">
        <f t="shared" ref="I7:I28" si="0">(D7-E7)/F7</f>
        <v>9.166666666666666E-2</v>
      </c>
      <c r="J7">
        <f t="shared" ref="J7:J28" si="1">G7*H7/1000</f>
        <v>0.48175000000000001</v>
      </c>
      <c r="K7">
        <f t="shared" ref="K7:K28" si="2">G7*71*(16/15)</f>
        <v>1779.7333333333333</v>
      </c>
      <c r="L7" s="10">
        <v>0.74807291666666664</v>
      </c>
      <c r="M7">
        <f t="shared" ref="M7:M28" si="3">J7/L7</f>
        <v>0.64398802478590822</v>
      </c>
      <c r="N7">
        <f t="shared" ref="N7:N28" si="4">(M7*1000)/(K7*2*PI()/60)</f>
        <v>3.4553674592821761</v>
      </c>
      <c r="O7">
        <f t="shared" ref="O7:O28" si="5">I7*3600/M7</f>
        <v>512.43188894654907</v>
      </c>
    </row>
    <row r="8" spans="1:19" x14ac:dyDescent="0.25">
      <c r="A8" s="2">
        <v>3</v>
      </c>
      <c r="B8">
        <v>3</v>
      </c>
      <c r="C8" t="s">
        <v>21</v>
      </c>
      <c r="D8">
        <v>2413</v>
      </c>
      <c r="E8">
        <v>2397</v>
      </c>
      <c r="F8">
        <v>120</v>
      </c>
      <c r="G8" s="6">
        <v>30.2</v>
      </c>
      <c r="H8" s="6">
        <v>25.4</v>
      </c>
      <c r="I8">
        <f t="shared" si="0"/>
        <v>0.13333333333333333</v>
      </c>
      <c r="J8">
        <f t="shared" si="1"/>
        <v>0.76707999999999987</v>
      </c>
      <c r="K8">
        <f t="shared" si="2"/>
        <v>2287.1466666666665</v>
      </c>
      <c r="L8" s="10">
        <v>0.74277033333333331</v>
      </c>
      <c r="M8">
        <f t="shared" si="3"/>
        <v>1.0327283758864896</v>
      </c>
      <c r="N8">
        <f t="shared" si="4"/>
        <v>4.3118483380817967</v>
      </c>
      <c r="O8">
        <f t="shared" si="5"/>
        <v>464.78823590759777</v>
      </c>
      <c r="P8" s="6"/>
      <c r="R8" s="7"/>
      <c r="S8" s="8"/>
    </row>
    <row r="9" spans="1:19" x14ac:dyDescent="0.25">
      <c r="A9" s="2" t="s">
        <v>31</v>
      </c>
      <c r="B9">
        <v>4</v>
      </c>
      <c r="C9" t="s">
        <v>21</v>
      </c>
      <c r="D9">
        <v>2885</v>
      </c>
      <c r="E9">
        <v>2864</v>
      </c>
      <c r="F9">
        <v>120</v>
      </c>
      <c r="G9" s="6">
        <v>33</v>
      </c>
      <c r="H9" s="6">
        <v>26</v>
      </c>
      <c r="I9">
        <f t="shared" si="0"/>
        <v>0.17499999999999999</v>
      </c>
      <c r="J9">
        <f t="shared" si="1"/>
        <v>0.85799999999999998</v>
      </c>
      <c r="K9">
        <f t="shared" si="2"/>
        <v>2499.1999999999998</v>
      </c>
      <c r="L9" s="10">
        <v>0.72535000000000005</v>
      </c>
      <c r="M9">
        <f t="shared" si="3"/>
        <v>1.1828772316812572</v>
      </c>
      <c r="N9">
        <f t="shared" si="4"/>
        <v>4.5197045092732679</v>
      </c>
      <c r="O9">
        <f t="shared" si="5"/>
        <v>532.59965034965035</v>
      </c>
      <c r="P9" s="6"/>
      <c r="Q9" s="7"/>
      <c r="R9" s="8"/>
      <c r="S9" s="8"/>
    </row>
    <row r="10" spans="1:19" x14ac:dyDescent="0.25">
      <c r="A10" s="2">
        <v>5</v>
      </c>
      <c r="B10">
        <v>4</v>
      </c>
      <c r="C10" t="s">
        <v>24</v>
      </c>
      <c r="D10">
        <v>2857</v>
      </c>
      <c r="E10">
        <v>2820</v>
      </c>
      <c r="F10">
        <v>120</v>
      </c>
      <c r="G10" s="6">
        <v>31.5</v>
      </c>
      <c r="H10" s="6">
        <v>48.9</v>
      </c>
      <c r="I10">
        <f t="shared" si="0"/>
        <v>0.30833333333333335</v>
      </c>
      <c r="J10">
        <f t="shared" si="1"/>
        <v>1.5403499999999999</v>
      </c>
      <c r="K10">
        <f t="shared" si="2"/>
        <v>2385.6</v>
      </c>
      <c r="L10" s="10">
        <v>0.84982500000000005</v>
      </c>
      <c r="M10">
        <f t="shared" si="3"/>
        <v>1.8125496425734708</v>
      </c>
      <c r="N10">
        <f t="shared" si="4"/>
        <v>7.2554385114440647</v>
      </c>
      <c r="O10">
        <f t="shared" si="5"/>
        <v>612.3970201577564</v>
      </c>
      <c r="P10" s="6"/>
      <c r="Q10" s="8"/>
      <c r="R10" s="8"/>
      <c r="S10" s="8"/>
    </row>
    <row r="11" spans="1:19" x14ac:dyDescent="0.25">
      <c r="A11" s="2">
        <v>6</v>
      </c>
      <c r="B11">
        <v>3</v>
      </c>
      <c r="C11" t="s">
        <v>24</v>
      </c>
      <c r="D11">
        <v>2809</v>
      </c>
      <c r="E11">
        <v>2784</v>
      </c>
      <c r="F11">
        <v>120</v>
      </c>
      <c r="G11" s="6">
        <v>26.2</v>
      </c>
      <c r="H11" s="6">
        <v>48.9</v>
      </c>
      <c r="I11">
        <f t="shared" si="0"/>
        <v>0.20833333333333334</v>
      </c>
      <c r="J11">
        <f t="shared" si="1"/>
        <v>1.2811799999999998</v>
      </c>
      <c r="K11">
        <f t="shared" si="2"/>
        <v>1984.2133333333334</v>
      </c>
      <c r="L11" s="10">
        <v>0.88333866666666661</v>
      </c>
      <c r="M11">
        <f t="shared" si="3"/>
        <v>1.4503836957965535</v>
      </c>
      <c r="N11">
        <f t="shared" si="4"/>
        <v>6.9801688363254613</v>
      </c>
      <c r="O11">
        <f t="shared" si="5"/>
        <v>517.10454424827117</v>
      </c>
      <c r="P11" s="6"/>
      <c r="Q11" s="7"/>
      <c r="R11" s="8"/>
      <c r="S11" s="8"/>
    </row>
    <row r="12" spans="1:19" x14ac:dyDescent="0.25">
      <c r="A12" s="2">
        <v>7</v>
      </c>
      <c r="B12">
        <v>2</v>
      </c>
      <c r="C12" t="s">
        <v>24</v>
      </c>
      <c r="D12">
        <v>2782</v>
      </c>
      <c r="E12">
        <v>2770</v>
      </c>
      <c r="F12">
        <v>120</v>
      </c>
      <c r="G12" s="6">
        <v>20.2</v>
      </c>
      <c r="H12" s="3">
        <v>28.6</v>
      </c>
      <c r="I12">
        <f t="shared" si="0"/>
        <v>0.1</v>
      </c>
      <c r="J12">
        <f t="shared" si="1"/>
        <v>0.57772000000000001</v>
      </c>
      <c r="K12">
        <f t="shared" si="2"/>
        <v>1529.8133333333333</v>
      </c>
      <c r="L12" s="10">
        <v>0.81540166666666669</v>
      </c>
      <c r="M12">
        <f t="shared" si="3"/>
        <v>0.70850971198243806</v>
      </c>
      <c r="N12">
        <f t="shared" si="4"/>
        <v>4.4226110637270812</v>
      </c>
      <c r="O12">
        <f t="shared" si="5"/>
        <v>508.10877241570313</v>
      </c>
      <c r="P12" s="6"/>
      <c r="Q12" s="7"/>
      <c r="R12" s="7"/>
      <c r="S12" s="8"/>
    </row>
    <row r="13" spans="1:19" x14ac:dyDescent="0.25">
      <c r="A13" s="2">
        <v>8</v>
      </c>
      <c r="B13">
        <v>1</v>
      </c>
      <c r="C13" t="s">
        <v>24</v>
      </c>
      <c r="D13">
        <v>2765</v>
      </c>
      <c r="E13">
        <v>2754</v>
      </c>
      <c r="F13">
        <v>120</v>
      </c>
      <c r="G13" s="6">
        <v>18.600000000000001</v>
      </c>
      <c r="H13" s="3">
        <v>22.7</v>
      </c>
      <c r="I13">
        <f t="shared" si="0"/>
        <v>9.166666666666666E-2</v>
      </c>
      <c r="J13">
        <f t="shared" si="1"/>
        <v>0.42222000000000004</v>
      </c>
      <c r="K13">
        <f t="shared" si="2"/>
        <v>1408.64</v>
      </c>
      <c r="L13" s="10">
        <v>0.7553725</v>
      </c>
      <c r="M13">
        <f t="shared" si="3"/>
        <v>0.55895601176902787</v>
      </c>
      <c r="N13">
        <f t="shared" si="4"/>
        <v>3.7892128113913737</v>
      </c>
      <c r="O13">
        <f t="shared" si="5"/>
        <v>590.38635071763531</v>
      </c>
      <c r="P13" s="6"/>
      <c r="Q13" s="8"/>
      <c r="R13" s="8"/>
      <c r="S13" s="8"/>
    </row>
    <row r="14" spans="1:19" x14ac:dyDescent="0.25">
      <c r="A14" s="2">
        <v>9</v>
      </c>
      <c r="B14">
        <v>1</v>
      </c>
      <c r="C14" t="s">
        <v>27</v>
      </c>
      <c r="D14">
        <v>2750</v>
      </c>
      <c r="E14">
        <v>2742</v>
      </c>
      <c r="F14">
        <v>180</v>
      </c>
      <c r="G14" s="6">
        <v>17.399999999999999</v>
      </c>
      <c r="H14" s="3">
        <v>0.38</v>
      </c>
      <c r="I14">
        <f t="shared" si="0"/>
        <v>4.4444444444444446E-2</v>
      </c>
      <c r="J14">
        <f t="shared" si="1"/>
        <v>6.611999999999999E-3</v>
      </c>
      <c r="K14">
        <f t="shared" si="2"/>
        <v>1317.7599999999998</v>
      </c>
      <c r="L14" s="10">
        <v>1.8030999999999998E-2</v>
      </c>
      <c r="M14">
        <f t="shared" si="3"/>
        <v>0.36670179135932557</v>
      </c>
      <c r="N14">
        <v>2.6573459234833146</v>
      </c>
      <c r="O14">
        <f t="shared" si="5"/>
        <v>436.32183908045982</v>
      </c>
      <c r="P14" s="6"/>
      <c r="Q14" s="7"/>
      <c r="R14" s="7"/>
      <c r="S14" s="8"/>
    </row>
    <row r="15" spans="1:19" x14ac:dyDescent="0.25">
      <c r="A15" s="2">
        <v>10</v>
      </c>
      <c r="B15">
        <v>2</v>
      </c>
      <c r="C15" t="s">
        <v>27</v>
      </c>
      <c r="D15">
        <v>2718</v>
      </c>
      <c r="E15">
        <v>2708</v>
      </c>
      <c r="F15">
        <f>120+45</f>
        <v>165</v>
      </c>
      <c r="G15" s="6">
        <v>23</v>
      </c>
      <c r="H15" s="3">
        <v>0.57999999999999996</v>
      </c>
      <c r="I15">
        <f t="shared" si="0"/>
        <v>6.0606060606060608E-2</v>
      </c>
      <c r="J15">
        <f t="shared" si="1"/>
        <v>1.3339999999999999E-2</v>
      </c>
      <c r="K15">
        <f t="shared" si="2"/>
        <v>1741.8666666666666</v>
      </c>
      <c r="L15" s="10">
        <v>2.7791666666666662E-2</v>
      </c>
      <c r="M15">
        <f t="shared" si="3"/>
        <v>0.48000000000000004</v>
      </c>
      <c r="N15">
        <f t="shared" si="4"/>
        <v>2.6314656849241733</v>
      </c>
      <c r="O15">
        <f t="shared" si="5"/>
        <v>454.5454545454545</v>
      </c>
      <c r="P15" s="6"/>
      <c r="Q15" s="8"/>
      <c r="R15" s="8"/>
      <c r="S15" s="8"/>
    </row>
    <row r="16" spans="1:19" x14ac:dyDescent="0.25">
      <c r="A16" s="2">
        <v>11</v>
      </c>
      <c r="B16">
        <v>3</v>
      </c>
      <c r="C16" t="s">
        <v>27</v>
      </c>
      <c r="D16">
        <v>2696</v>
      </c>
      <c r="E16">
        <v>2686</v>
      </c>
      <c r="F16">
        <f>60+50</f>
        <v>110</v>
      </c>
      <c r="G16" s="6">
        <v>30</v>
      </c>
      <c r="H16" s="3">
        <v>8.6</v>
      </c>
      <c r="I16">
        <f t="shared" si="0"/>
        <v>9.0909090909090912E-2</v>
      </c>
      <c r="J16">
        <f t="shared" si="1"/>
        <v>0.25800000000000001</v>
      </c>
      <c r="K16">
        <f t="shared" si="2"/>
        <v>2272</v>
      </c>
      <c r="L16" s="10">
        <v>0.36764999999999998</v>
      </c>
      <c r="M16">
        <f t="shared" si="3"/>
        <v>0.70175438596491235</v>
      </c>
      <c r="N16">
        <f t="shared" si="4"/>
        <v>2.949498574720077</v>
      </c>
      <c r="O16">
        <f t="shared" si="5"/>
        <v>466.36363636363637</v>
      </c>
      <c r="P16" s="6"/>
      <c r="Q16" s="8"/>
      <c r="R16" s="8"/>
      <c r="S16" s="8"/>
    </row>
    <row r="17" spans="1:19" x14ac:dyDescent="0.25">
      <c r="A17" s="2">
        <v>12</v>
      </c>
      <c r="B17">
        <v>4</v>
      </c>
      <c r="C17" t="s">
        <v>27</v>
      </c>
      <c r="D17">
        <v>2681</v>
      </c>
      <c r="E17">
        <v>2671</v>
      </c>
      <c r="F17">
        <f>60+23</f>
        <v>83</v>
      </c>
      <c r="G17" s="6">
        <v>34.4</v>
      </c>
      <c r="H17" s="3">
        <v>11</v>
      </c>
      <c r="I17">
        <f t="shared" si="0"/>
        <v>0.12048192771084337</v>
      </c>
      <c r="J17">
        <f t="shared" si="1"/>
        <v>0.37839999999999996</v>
      </c>
      <c r="K17">
        <f t="shared" si="2"/>
        <v>2605.2266666666669</v>
      </c>
      <c r="L17" s="10">
        <v>0.41593333333333332</v>
      </c>
      <c r="M17">
        <f t="shared" si="3"/>
        <v>0.90976117967623005</v>
      </c>
      <c r="N17">
        <f t="shared" si="4"/>
        <v>3.3346731161134375</v>
      </c>
      <c r="O17">
        <f t="shared" si="5"/>
        <v>476.75692197967351</v>
      </c>
      <c r="P17" s="6"/>
      <c r="Q17" s="7"/>
      <c r="R17" s="7"/>
      <c r="S17" s="8"/>
    </row>
    <row r="18" spans="1:19" x14ac:dyDescent="0.25">
      <c r="A18" s="2">
        <v>13</v>
      </c>
      <c r="B18">
        <v>4</v>
      </c>
      <c r="C18" t="s">
        <v>28</v>
      </c>
      <c r="D18">
        <v>2662</v>
      </c>
      <c r="E18">
        <v>2652</v>
      </c>
      <c r="F18">
        <v>51</v>
      </c>
      <c r="G18" s="6">
        <v>32.799999999999997</v>
      </c>
      <c r="H18" s="6">
        <v>34.6</v>
      </c>
      <c r="I18">
        <f t="shared" si="0"/>
        <v>0.19607843137254902</v>
      </c>
      <c r="J18">
        <f t="shared" si="1"/>
        <v>1.1348799999999999</v>
      </c>
      <c r="K18">
        <f t="shared" si="2"/>
        <v>2484.0533333333328</v>
      </c>
      <c r="L18" s="10">
        <v>0.78698933333333332</v>
      </c>
      <c r="M18">
        <f t="shared" si="3"/>
        <v>1.4420525818223711</v>
      </c>
      <c r="N18">
        <f t="shared" si="4"/>
        <v>5.5435958684707316</v>
      </c>
      <c r="O18">
        <f t="shared" si="5"/>
        <v>489.49834551048673</v>
      </c>
    </row>
    <row r="19" spans="1:19" x14ac:dyDescent="0.25">
      <c r="A19" s="2">
        <v>14</v>
      </c>
      <c r="B19">
        <v>3</v>
      </c>
      <c r="C19" t="s">
        <v>28</v>
      </c>
      <c r="D19">
        <v>2645</v>
      </c>
      <c r="E19">
        <v>2635</v>
      </c>
      <c r="F19">
        <f>60+9</f>
        <v>69</v>
      </c>
      <c r="G19" s="6">
        <v>28.1</v>
      </c>
      <c r="H19" s="6">
        <v>33</v>
      </c>
      <c r="I19">
        <f t="shared" si="0"/>
        <v>0.14492753623188406</v>
      </c>
      <c r="J19">
        <f t="shared" si="1"/>
        <v>0.92730000000000001</v>
      </c>
      <c r="K19">
        <f t="shared" si="2"/>
        <v>2128.1066666666666</v>
      </c>
      <c r="L19" s="10">
        <v>0.81529333333333331</v>
      </c>
      <c r="M19">
        <f t="shared" si="3"/>
        <v>1.1373820465435753</v>
      </c>
      <c r="N19">
        <f t="shared" si="4"/>
        <v>5.1036908363693412</v>
      </c>
      <c r="O19">
        <f t="shared" si="5"/>
        <v>458.71933007937957</v>
      </c>
    </row>
    <row r="20" spans="1:19" x14ac:dyDescent="0.25">
      <c r="A20" s="2">
        <v>15</v>
      </c>
      <c r="B20">
        <v>2</v>
      </c>
      <c r="C20" t="s">
        <v>28</v>
      </c>
      <c r="D20">
        <v>2635</v>
      </c>
      <c r="E20">
        <v>2625</v>
      </c>
      <c r="F20">
        <f>60+45</f>
        <v>105</v>
      </c>
      <c r="G20" s="6">
        <v>20.7</v>
      </c>
      <c r="H20" s="6">
        <v>20.9</v>
      </c>
      <c r="I20">
        <f t="shared" si="0"/>
        <v>9.5238095238095233E-2</v>
      </c>
      <c r="J20">
        <f t="shared" si="1"/>
        <v>0.43262999999999996</v>
      </c>
      <c r="K20">
        <f t="shared" si="2"/>
        <v>1567.68</v>
      </c>
      <c r="L20" s="10">
        <v>0.74384624999999993</v>
      </c>
      <c r="M20">
        <f t="shared" si="3"/>
        <v>0.58161212750618829</v>
      </c>
      <c r="N20">
        <f t="shared" si="4"/>
        <v>3.5428063783987893</v>
      </c>
      <c r="O20">
        <f t="shared" si="5"/>
        <v>589.4944872061576</v>
      </c>
    </row>
    <row r="21" spans="1:19" x14ac:dyDescent="0.25">
      <c r="A21" s="2">
        <v>16</v>
      </c>
      <c r="B21">
        <v>1</v>
      </c>
      <c r="C21" t="s">
        <v>28</v>
      </c>
      <c r="D21">
        <v>2627</v>
      </c>
      <c r="E21">
        <v>2617</v>
      </c>
      <c r="F21">
        <f>120+39</f>
        <v>159</v>
      </c>
      <c r="G21" s="6">
        <v>16.399999999999999</v>
      </c>
      <c r="H21" s="6">
        <v>12.7</v>
      </c>
      <c r="I21">
        <f t="shared" si="0"/>
        <v>6.2893081761006289E-2</v>
      </c>
      <c r="J21">
        <f t="shared" si="1"/>
        <v>0.20827999999999997</v>
      </c>
      <c r="K21">
        <f>G21*71*(16/15)</f>
        <v>1242.0266666666664</v>
      </c>
      <c r="L21" s="10">
        <v>0.54094166666666665</v>
      </c>
      <c r="M21">
        <f t="shared" si="3"/>
        <v>0.38503227396669382</v>
      </c>
      <c r="N21">
        <f t="shared" si="4"/>
        <v>2.9603127515534289</v>
      </c>
      <c r="O21">
        <f t="shared" si="5"/>
        <v>588.04185947074154</v>
      </c>
    </row>
    <row r="22" spans="1:19" x14ac:dyDescent="0.25">
      <c r="A22" s="2">
        <v>17</v>
      </c>
      <c r="B22">
        <v>1</v>
      </c>
      <c r="C22" t="s">
        <v>29</v>
      </c>
      <c r="D22">
        <v>2606</v>
      </c>
      <c r="E22">
        <f>2596</f>
        <v>2596</v>
      </c>
      <c r="F22">
        <f>120+45</f>
        <v>165</v>
      </c>
      <c r="G22" s="6">
        <v>15.8</v>
      </c>
      <c r="H22" s="6">
        <v>11.8</v>
      </c>
      <c r="I22">
        <f t="shared" si="0"/>
        <v>6.0606060606060608E-2</v>
      </c>
      <c r="J22">
        <f t="shared" si="1"/>
        <v>0.18644000000000002</v>
      </c>
      <c r="K22">
        <f t="shared" si="2"/>
        <v>1196.5866666666666</v>
      </c>
      <c r="L22" s="10">
        <v>0.51779166666666665</v>
      </c>
      <c r="M22">
        <f t="shared" si="3"/>
        <v>0.3600675947533597</v>
      </c>
      <c r="N22">
        <f t="shared" si="4"/>
        <v>2.8735003898302915</v>
      </c>
      <c r="O22">
        <f t="shared" si="5"/>
        <v>605.94683154219717</v>
      </c>
    </row>
    <row r="23" spans="1:19" x14ac:dyDescent="0.25">
      <c r="A23" s="2">
        <v>18</v>
      </c>
      <c r="B23">
        <v>2</v>
      </c>
      <c r="C23" t="s">
        <v>29</v>
      </c>
      <c r="D23">
        <v>2574</v>
      </c>
      <c r="E23">
        <f>2564</f>
        <v>2564</v>
      </c>
      <c r="F23">
        <f>60+57</f>
        <v>117</v>
      </c>
      <c r="G23" s="6">
        <v>20.9</v>
      </c>
      <c r="H23" s="6">
        <v>21.1</v>
      </c>
      <c r="I23">
        <f t="shared" si="0"/>
        <v>8.5470085470085472E-2</v>
      </c>
      <c r="J23">
        <f t="shared" si="1"/>
        <v>0.44098999999999999</v>
      </c>
      <c r="K23">
        <f t="shared" si="2"/>
        <v>1582.8266666666666</v>
      </c>
      <c r="L23" s="10">
        <v>0.74628458333333325</v>
      </c>
      <c r="M23">
        <f t="shared" si="3"/>
        <v>0.59091398891062008</v>
      </c>
      <c r="N23">
        <f t="shared" si="4"/>
        <v>3.5650226619696053</v>
      </c>
      <c r="O23">
        <f t="shared" si="5"/>
        <v>520.7057430804</v>
      </c>
    </row>
    <row r="24" spans="1:19" x14ac:dyDescent="0.25">
      <c r="A24" s="2">
        <v>19</v>
      </c>
      <c r="B24">
        <v>3</v>
      </c>
      <c r="C24" t="s">
        <v>29</v>
      </c>
      <c r="D24">
        <v>2547</v>
      </c>
      <c r="E24">
        <v>2537</v>
      </c>
      <c r="F24">
        <v>67</v>
      </c>
      <c r="G24" s="6">
        <v>28.9</v>
      </c>
      <c r="H24" s="6">
        <v>32.799999999999997</v>
      </c>
      <c r="I24">
        <f t="shared" si="0"/>
        <v>0.14925373134328357</v>
      </c>
      <c r="J24">
        <f t="shared" si="1"/>
        <v>0.94791999999999987</v>
      </c>
      <c r="K24">
        <f t="shared" si="2"/>
        <v>2188.6933333333336</v>
      </c>
      <c r="L24" s="10">
        <v>0.80819233333333329</v>
      </c>
      <c r="M24">
        <f t="shared" si="3"/>
        <v>1.1728891266394095</v>
      </c>
      <c r="N24">
        <f t="shared" si="4"/>
        <v>5.1173300350607427</v>
      </c>
      <c r="O24">
        <f t="shared" si="5"/>
        <v>458.11101887809673</v>
      </c>
    </row>
    <row r="25" spans="1:19" x14ac:dyDescent="0.25">
      <c r="A25" s="2">
        <v>20</v>
      </c>
      <c r="B25">
        <v>4</v>
      </c>
      <c r="C25" t="s">
        <v>29</v>
      </c>
      <c r="D25">
        <v>2530</v>
      </c>
      <c r="E25">
        <f>2520</f>
        <v>2520</v>
      </c>
      <c r="F25">
        <v>54.3</v>
      </c>
      <c r="G25" s="6">
        <v>33.700000000000003</v>
      </c>
      <c r="H25" s="6">
        <v>33.200000000000003</v>
      </c>
      <c r="I25">
        <f t="shared" si="0"/>
        <v>0.18416206261510129</v>
      </c>
      <c r="J25">
        <f t="shared" si="1"/>
        <v>1.1188400000000001</v>
      </c>
      <c r="K25">
        <f t="shared" si="2"/>
        <v>2552.2133333333336</v>
      </c>
      <c r="L25" s="10">
        <v>0.77301300000000006</v>
      </c>
      <c r="M25">
        <f t="shared" si="3"/>
        <v>1.4473753998962502</v>
      </c>
      <c r="N25">
        <f t="shared" si="4"/>
        <v>5.4154630350333104</v>
      </c>
      <c r="O25">
        <f t="shared" si="5"/>
        <v>458.05906709613015</v>
      </c>
    </row>
    <row r="26" spans="1:19" x14ac:dyDescent="0.25">
      <c r="A26" s="2">
        <v>21</v>
      </c>
      <c r="B26">
        <v>5</v>
      </c>
      <c r="C26" t="s">
        <v>29</v>
      </c>
      <c r="D26">
        <v>2510</v>
      </c>
      <c r="E26">
        <f>2500</f>
        <v>2500</v>
      </c>
      <c r="F26">
        <v>48.54</v>
      </c>
      <c r="G26" s="6">
        <v>37.1</v>
      </c>
      <c r="H26" s="6">
        <v>33.6</v>
      </c>
      <c r="I26">
        <f t="shared" si="0"/>
        <v>0.20601565718994644</v>
      </c>
      <c r="J26">
        <f t="shared" si="1"/>
        <v>1.2465600000000001</v>
      </c>
      <c r="K26">
        <f t="shared" si="2"/>
        <v>2809.7066666666665</v>
      </c>
      <c r="L26" s="10">
        <v>0.73455999999999999</v>
      </c>
      <c r="M26">
        <f t="shared" si="3"/>
        <v>1.6970159006752343</v>
      </c>
      <c r="N26">
        <f t="shared" si="4"/>
        <v>5.7676156511761043</v>
      </c>
      <c r="O26">
        <f t="shared" si="5"/>
        <v>437.03560207580011</v>
      </c>
    </row>
    <row r="27" spans="1:19" x14ac:dyDescent="0.25">
      <c r="A27" s="2">
        <v>22</v>
      </c>
      <c r="B27">
        <v>1</v>
      </c>
      <c r="C27" t="s">
        <v>30</v>
      </c>
      <c r="D27">
        <v>2439</v>
      </c>
      <c r="E27">
        <f>2429</f>
        <v>2429</v>
      </c>
      <c r="F27">
        <f>180+11</f>
        <v>191</v>
      </c>
      <c r="G27" s="6">
        <v>17.5</v>
      </c>
      <c r="H27" s="6">
        <v>9.6</v>
      </c>
      <c r="I27">
        <f t="shared" si="0"/>
        <v>5.2356020942408377E-2</v>
      </c>
      <c r="J27">
        <f t="shared" si="1"/>
        <v>0.16800000000000001</v>
      </c>
      <c r="K27">
        <f t="shared" si="2"/>
        <v>1325.3333333333333</v>
      </c>
      <c r="L27" s="10">
        <v>0.45559999999999995</v>
      </c>
      <c r="M27">
        <f t="shared" si="3"/>
        <v>0.36874451273046538</v>
      </c>
      <c r="N27">
        <f t="shared" si="4"/>
        <v>2.6568793131367858</v>
      </c>
      <c r="O27">
        <f t="shared" si="5"/>
        <v>511.14435302916968</v>
      </c>
    </row>
    <row r="28" spans="1:19" x14ac:dyDescent="0.25">
      <c r="A28" s="2" t="s">
        <v>32</v>
      </c>
      <c r="B28">
        <v>2</v>
      </c>
      <c r="C28" t="s">
        <v>30</v>
      </c>
      <c r="D28">
        <v>2418</v>
      </c>
      <c r="E28">
        <f>2408</f>
        <v>2408</v>
      </c>
      <c r="F28">
        <f>120+55</f>
        <v>175</v>
      </c>
      <c r="G28" s="6">
        <v>20.399999999999999</v>
      </c>
      <c r="H28" s="6">
        <v>12.9</v>
      </c>
      <c r="I28">
        <f t="shared" si="0"/>
        <v>5.7142857142857141E-2</v>
      </c>
      <c r="J28">
        <f t="shared" si="1"/>
        <v>0.26315999999999995</v>
      </c>
      <c r="K28">
        <f t="shared" si="2"/>
        <v>1544.9599999999998</v>
      </c>
      <c r="L28" s="10">
        <v>0.55167499999999992</v>
      </c>
      <c r="M28">
        <f t="shared" si="3"/>
        <v>0.47701998459237777</v>
      </c>
      <c r="N28">
        <f t="shared" si="4"/>
        <v>2.9484292862532366</v>
      </c>
      <c r="O28">
        <f t="shared" si="5"/>
        <v>431.24877858119987</v>
      </c>
    </row>
    <row r="31" spans="1:19" x14ac:dyDescent="0.25">
      <c r="L31" t="s">
        <v>37</v>
      </c>
    </row>
    <row r="32" spans="1:19" x14ac:dyDescent="0.25">
      <c r="L32" t="s">
        <v>38</v>
      </c>
    </row>
    <row r="33" spans="12:12" x14ac:dyDescent="0.25">
      <c r="L33" t="s">
        <v>39</v>
      </c>
    </row>
  </sheetData>
  <sortState xmlns:xlrd2="http://schemas.microsoft.com/office/spreadsheetml/2017/richdata2" ref="E33:F36">
    <sortCondition ref="E33:E36"/>
  </sortState>
  <mergeCells count="2">
    <mergeCell ref="B3:H3"/>
    <mergeCell ref="Q5:S5"/>
  </mergeCells>
  <conditionalFormatting sqref="K6:K28">
    <cfRule type="colorScale" priority="4">
      <colorScale>
        <cfvo type="min"/>
        <cfvo type="max"/>
        <color rgb="FFFCFCFF"/>
        <color rgb="FF63BE7B"/>
      </colorScale>
    </cfRule>
  </conditionalFormatting>
  <conditionalFormatting sqref="M5:M28 N5:O5">
    <cfRule type="colorScale" priority="3">
      <colorScale>
        <cfvo type="min"/>
        <cfvo type="max"/>
        <color rgb="FFFCFCFF"/>
        <color rgb="FF63BE7B"/>
      </colorScale>
    </cfRule>
  </conditionalFormatting>
  <conditionalFormatting sqref="N6:N28">
    <cfRule type="colorScale" priority="2">
      <colorScale>
        <cfvo type="min"/>
        <cfvo type="max"/>
        <color rgb="FFFCFCFF"/>
        <color rgb="FF63BE7B"/>
      </colorScale>
    </cfRule>
  </conditionalFormatting>
  <conditionalFormatting sqref="O6:O2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8512-1843-4317-A284-AC9742F7EEA1}">
  <dimension ref="A1:I48"/>
  <sheetViews>
    <sheetView zoomScale="85" zoomScaleNormal="85" workbookViewId="0">
      <selection activeCell="C34" sqref="C34"/>
    </sheetView>
  </sheetViews>
  <sheetFormatPr defaultRowHeight="15" x14ac:dyDescent="0.25"/>
  <cols>
    <col min="1" max="1" width="4" bestFit="1" customWidth="1"/>
  </cols>
  <sheetData>
    <row r="1" spans="1:9" x14ac:dyDescent="0.25">
      <c r="B1" t="s">
        <v>40</v>
      </c>
    </row>
    <row r="3" spans="1:9" x14ac:dyDescent="0.25">
      <c r="B3" t="s">
        <v>49</v>
      </c>
    </row>
    <row r="4" spans="1:9" x14ac:dyDescent="0.25">
      <c r="B4" s="14" t="s">
        <v>51</v>
      </c>
      <c r="C4" s="14"/>
      <c r="D4" s="14"/>
    </row>
    <row r="5" spans="1:9" x14ac:dyDescent="0.25">
      <c r="B5" t="s">
        <v>46</v>
      </c>
      <c r="C5" t="s">
        <v>47</v>
      </c>
      <c r="D5" t="s">
        <v>48</v>
      </c>
      <c r="H5" t="s">
        <v>100</v>
      </c>
    </row>
    <row r="6" spans="1:9" x14ac:dyDescent="0.25">
      <c r="A6" s="2" t="s">
        <v>0</v>
      </c>
      <c r="B6" t="s">
        <v>15</v>
      </c>
      <c r="C6" t="s">
        <v>42</v>
      </c>
      <c r="D6" t="s">
        <v>43</v>
      </c>
    </row>
    <row r="7" spans="1:9" x14ac:dyDescent="0.25">
      <c r="A7" s="2">
        <v>1</v>
      </c>
      <c r="B7">
        <f>'engine data'!K6</f>
        <v>1249.5999999999999</v>
      </c>
      <c r="C7">
        <f>'engine data'!N6</f>
        <v>2.6615528035732625</v>
      </c>
      <c r="D7">
        <f>'engine data'!O6</f>
        <v>602.95454545454538</v>
      </c>
      <c r="H7" t="s">
        <v>101</v>
      </c>
    </row>
    <row r="8" spans="1:9" x14ac:dyDescent="0.25">
      <c r="A8" s="2">
        <v>2</v>
      </c>
      <c r="B8">
        <f>'engine data'!K7</f>
        <v>1779.7333333333333</v>
      </c>
      <c r="C8">
        <f>'engine data'!N7</f>
        <v>3.4553674592821761</v>
      </c>
      <c r="D8">
        <f>'engine data'!O7</f>
        <v>512.43188894654907</v>
      </c>
    </row>
    <row r="9" spans="1:9" x14ac:dyDescent="0.25">
      <c r="A9" s="2">
        <v>3</v>
      </c>
      <c r="B9">
        <f>'engine data'!K8</f>
        <v>2287.1466666666665</v>
      </c>
      <c r="C9">
        <f>'engine data'!N8</f>
        <v>4.3118483380817967</v>
      </c>
      <c r="D9">
        <f>'engine data'!O8</f>
        <v>464.78823590759777</v>
      </c>
      <c r="H9" t="s">
        <v>102</v>
      </c>
    </row>
    <row r="10" spans="1:9" x14ac:dyDescent="0.25">
      <c r="A10" s="2" t="s">
        <v>31</v>
      </c>
      <c r="B10">
        <f>'engine data'!K9</f>
        <v>2499.1999999999998</v>
      </c>
      <c r="C10">
        <f>'engine data'!N9</f>
        <v>4.5197045092732679</v>
      </c>
      <c r="D10">
        <f>'engine data'!O9</f>
        <v>532.59965034965035</v>
      </c>
      <c r="I10" t="s">
        <v>103</v>
      </c>
    </row>
    <row r="11" spans="1:9" x14ac:dyDescent="0.25">
      <c r="A11" s="2">
        <v>5</v>
      </c>
      <c r="B11">
        <f>'engine data'!K10</f>
        <v>2385.6</v>
      </c>
      <c r="C11">
        <f>'engine data'!N10</f>
        <v>7.2554385114440647</v>
      </c>
      <c r="D11">
        <f>'engine data'!O10</f>
        <v>612.3970201577564</v>
      </c>
      <c r="I11" t="s">
        <v>104</v>
      </c>
    </row>
    <row r="12" spans="1:9" x14ac:dyDescent="0.25">
      <c r="A12" s="2">
        <v>6</v>
      </c>
      <c r="B12">
        <f>'engine data'!K11</f>
        <v>1984.2133333333334</v>
      </c>
      <c r="C12">
        <f>'engine data'!N11</f>
        <v>6.9801688363254613</v>
      </c>
      <c r="D12">
        <f>'engine data'!O11</f>
        <v>517.10454424827117</v>
      </c>
    </row>
    <row r="13" spans="1:9" x14ac:dyDescent="0.25">
      <c r="A13" s="2">
        <v>7</v>
      </c>
      <c r="B13">
        <f>'engine data'!K12</f>
        <v>1529.8133333333333</v>
      </c>
      <c r="C13">
        <f>'engine data'!N12</f>
        <v>4.4226110637270812</v>
      </c>
      <c r="D13">
        <f>'engine data'!O12</f>
        <v>508.10877241570313</v>
      </c>
    </row>
    <row r="14" spans="1:9" x14ac:dyDescent="0.25">
      <c r="A14" s="2">
        <v>8</v>
      </c>
      <c r="B14">
        <f>'engine data'!K13</f>
        <v>1408.64</v>
      </c>
      <c r="C14">
        <f>'engine data'!N13</f>
        <v>3.7892128113913737</v>
      </c>
      <c r="D14">
        <f>'engine data'!O13</f>
        <v>590.38635071763531</v>
      </c>
    </row>
    <row r="15" spans="1:9" x14ac:dyDescent="0.25">
      <c r="A15" s="2">
        <v>9</v>
      </c>
      <c r="B15">
        <f>'engine data'!K14</f>
        <v>1317.7599999999998</v>
      </c>
      <c r="C15">
        <f>'engine data'!N14</f>
        <v>2.6573459234833146</v>
      </c>
      <c r="D15">
        <f>'engine data'!O14</f>
        <v>436.32183908045982</v>
      </c>
      <c r="H15" t="s">
        <v>105</v>
      </c>
      <c r="I15">
        <f>3600/44000</f>
        <v>8.1818181818181818E-2</v>
      </c>
    </row>
    <row r="16" spans="1:9" x14ac:dyDescent="0.25">
      <c r="A16" s="2">
        <v>10</v>
      </c>
      <c r="B16">
        <f>'engine data'!K15</f>
        <v>1741.8666666666666</v>
      </c>
      <c r="C16">
        <f>'engine data'!N15</f>
        <v>2.6314656849241733</v>
      </c>
      <c r="D16">
        <f>'engine data'!O15</f>
        <v>454.5454545454545</v>
      </c>
      <c r="H16" t="s">
        <v>106</v>
      </c>
      <c r="I16">
        <f>211/(4*PI())</f>
        <v>16.790846496194959</v>
      </c>
    </row>
    <row r="17" spans="1:8" x14ac:dyDescent="0.25">
      <c r="A17" s="2">
        <v>11</v>
      </c>
      <c r="B17">
        <f>'engine data'!K16</f>
        <v>2272</v>
      </c>
      <c r="C17">
        <f>'engine data'!N16</f>
        <v>2.949498574720077</v>
      </c>
      <c r="D17">
        <f>'engine data'!O16</f>
        <v>466.36363636363637</v>
      </c>
    </row>
    <row r="18" spans="1:8" x14ac:dyDescent="0.25">
      <c r="A18" s="2">
        <v>12</v>
      </c>
      <c r="B18">
        <f>'engine data'!K17</f>
        <v>2605.2266666666669</v>
      </c>
      <c r="C18">
        <f>'engine data'!N17</f>
        <v>3.3346731161134375</v>
      </c>
      <c r="D18">
        <f>'engine data'!O17</f>
        <v>476.75692197967351</v>
      </c>
      <c r="H18" t="s">
        <v>107</v>
      </c>
    </row>
    <row r="19" spans="1:8" x14ac:dyDescent="0.25">
      <c r="A19" s="2">
        <v>13</v>
      </c>
      <c r="B19">
        <f>'engine data'!K18</f>
        <v>2484.0533333333328</v>
      </c>
      <c r="C19">
        <f>'engine data'!N18</f>
        <v>5.5435958684707316</v>
      </c>
      <c r="D19">
        <f>'engine data'!O18</f>
        <v>489.49834551048673</v>
      </c>
    </row>
    <row r="20" spans="1:8" x14ac:dyDescent="0.25">
      <c r="A20" s="2">
        <v>14</v>
      </c>
      <c r="B20">
        <f>'engine data'!K19</f>
        <v>2128.1066666666666</v>
      </c>
      <c r="C20">
        <f>'engine data'!N19</f>
        <v>5.1036908363693412</v>
      </c>
      <c r="D20">
        <f>'engine data'!O19</f>
        <v>458.71933007937957</v>
      </c>
    </row>
    <row r="21" spans="1:8" x14ac:dyDescent="0.25">
      <c r="A21" s="2">
        <v>15</v>
      </c>
      <c r="B21">
        <f>'engine data'!K20</f>
        <v>1567.68</v>
      </c>
      <c r="C21">
        <f>'engine data'!N20</f>
        <v>3.5428063783987893</v>
      </c>
      <c r="D21">
        <f>'engine data'!O20</f>
        <v>589.4944872061576</v>
      </c>
    </row>
    <row r="22" spans="1:8" x14ac:dyDescent="0.25">
      <c r="A22" s="2">
        <v>16</v>
      </c>
      <c r="B22">
        <f>'engine data'!K21</f>
        <v>1242.0266666666664</v>
      </c>
      <c r="C22">
        <f>'engine data'!N21</f>
        <v>2.9603127515534289</v>
      </c>
      <c r="D22">
        <f>'engine data'!O21</f>
        <v>588.04185947074154</v>
      </c>
    </row>
    <row r="23" spans="1:8" x14ac:dyDescent="0.25">
      <c r="A23" s="2">
        <v>17</v>
      </c>
      <c r="B23">
        <f>'engine data'!K22</f>
        <v>1196.5866666666666</v>
      </c>
      <c r="C23">
        <f>'engine data'!N22</f>
        <v>2.8735003898302915</v>
      </c>
      <c r="D23">
        <f>'engine data'!O22</f>
        <v>605.94683154219717</v>
      </c>
    </row>
    <row r="24" spans="1:8" x14ac:dyDescent="0.25">
      <c r="A24" s="2">
        <v>18</v>
      </c>
      <c r="B24">
        <f>'engine data'!K23</f>
        <v>1582.8266666666666</v>
      </c>
      <c r="C24">
        <f>'engine data'!N23</f>
        <v>3.5650226619696053</v>
      </c>
      <c r="D24">
        <f>'engine data'!O23</f>
        <v>520.7057430804</v>
      </c>
    </row>
    <row r="25" spans="1:8" x14ac:dyDescent="0.25">
      <c r="A25" s="2">
        <v>19</v>
      </c>
      <c r="B25">
        <f>'engine data'!K24</f>
        <v>2188.6933333333336</v>
      </c>
      <c r="C25">
        <f>'engine data'!N24</f>
        <v>5.1173300350607427</v>
      </c>
      <c r="D25">
        <f>'engine data'!O24</f>
        <v>458.11101887809673</v>
      </c>
    </row>
    <row r="26" spans="1:8" x14ac:dyDescent="0.25">
      <c r="A26" s="2">
        <v>20</v>
      </c>
      <c r="B26">
        <f>'engine data'!K25</f>
        <v>2552.2133333333336</v>
      </c>
      <c r="C26">
        <f>'engine data'!N25</f>
        <v>5.4154630350333104</v>
      </c>
      <c r="D26">
        <f>'engine data'!O25</f>
        <v>458.05906709613015</v>
      </c>
    </row>
    <row r="27" spans="1:8" x14ac:dyDescent="0.25">
      <c r="A27" s="2">
        <v>21</v>
      </c>
      <c r="B27">
        <f>'engine data'!K26</f>
        <v>2809.7066666666665</v>
      </c>
      <c r="C27">
        <f>'engine data'!N26</f>
        <v>5.7676156511761043</v>
      </c>
      <c r="D27">
        <f>'engine data'!O26</f>
        <v>437.03560207580011</v>
      </c>
    </row>
    <row r="28" spans="1:8" x14ac:dyDescent="0.25">
      <c r="A28" s="2">
        <v>22</v>
      </c>
      <c r="B28">
        <f>'engine data'!K27</f>
        <v>1325.3333333333333</v>
      </c>
      <c r="C28">
        <f>'engine data'!N27</f>
        <v>2.6568793131367858</v>
      </c>
      <c r="D28">
        <f>'engine data'!O27</f>
        <v>511.14435302916968</v>
      </c>
    </row>
    <row r="29" spans="1:8" x14ac:dyDescent="0.25">
      <c r="A29" s="2" t="s">
        <v>32</v>
      </c>
      <c r="B29">
        <f>'engine data'!K28</f>
        <v>1544.9599999999998</v>
      </c>
      <c r="C29">
        <f>'engine data'!N28</f>
        <v>2.9484292862532366</v>
      </c>
      <c r="D29">
        <f>'engine data'!O28</f>
        <v>431.24877858119987</v>
      </c>
    </row>
    <row r="31" spans="1:8" x14ac:dyDescent="0.25">
      <c r="B31" s="6" t="s">
        <v>53</v>
      </c>
    </row>
    <row r="32" spans="1:8" x14ac:dyDescent="0.25">
      <c r="B32" t="s">
        <v>41</v>
      </c>
      <c r="C32" t="s">
        <v>56</v>
      </c>
    </row>
    <row r="33" spans="2:9" x14ac:dyDescent="0.25">
      <c r="B33" t="s">
        <v>54</v>
      </c>
      <c r="C33" t="s">
        <v>57</v>
      </c>
    </row>
    <row r="34" spans="2:9" x14ac:dyDescent="0.25">
      <c r="B34" t="s">
        <v>55</v>
      </c>
      <c r="C34" t="s">
        <v>58</v>
      </c>
    </row>
    <row r="36" spans="2:9" x14ac:dyDescent="0.25">
      <c r="B36" s="6" t="s">
        <v>77</v>
      </c>
    </row>
    <row r="37" spans="2:9" x14ac:dyDescent="0.25">
      <c r="B37" t="s">
        <v>61</v>
      </c>
      <c r="C37">
        <v>0</v>
      </c>
      <c r="D37" t="s">
        <v>71</v>
      </c>
      <c r="E37" s="11" t="s">
        <v>73</v>
      </c>
    </row>
    <row r="38" spans="2:9" x14ac:dyDescent="0.25">
      <c r="B38" t="s">
        <v>62</v>
      </c>
      <c r="C38" t="s">
        <v>71</v>
      </c>
      <c r="D38">
        <v>0</v>
      </c>
      <c r="E38" s="11" t="s">
        <v>74</v>
      </c>
    </row>
    <row r="39" spans="2:9" x14ac:dyDescent="0.25">
      <c r="B39" t="s">
        <v>63</v>
      </c>
      <c r="C39">
        <v>0</v>
      </c>
      <c r="D39" t="s">
        <v>71</v>
      </c>
      <c r="E39" s="11" t="s">
        <v>73</v>
      </c>
    </row>
    <row r="40" spans="2:9" x14ac:dyDescent="0.25">
      <c r="B40" t="s">
        <v>64</v>
      </c>
      <c r="C40" t="s">
        <v>71</v>
      </c>
      <c r="D40" t="s">
        <v>71</v>
      </c>
    </row>
    <row r="41" spans="2:9" x14ac:dyDescent="0.25">
      <c r="B41" t="s">
        <v>65</v>
      </c>
      <c r="C41" t="s">
        <v>71</v>
      </c>
      <c r="D41" t="s">
        <v>71</v>
      </c>
    </row>
    <row r="42" spans="2:9" x14ac:dyDescent="0.25">
      <c r="B42" t="s">
        <v>66</v>
      </c>
      <c r="C42" t="s">
        <v>71</v>
      </c>
      <c r="D42" t="s">
        <v>71</v>
      </c>
    </row>
    <row r="43" spans="2:9" x14ac:dyDescent="0.25">
      <c r="B43" t="s">
        <v>67</v>
      </c>
      <c r="C43" t="s">
        <v>71</v>
      </c>
      <c r="D43" t="s">
        <v>71</v>
      </c>
    </row>
    <row r="44" spans="2:9" x14ac:dyDescent="0.25">
      <c r="B44" t="s">
        <v>68</v>
      </c>
      <c r="C44" t="s">
        <v>71</v>
      </c>
      <c r="D44" t="s">
        <v>71</v>
      </c>
    </row>
    <row r="45" spans="2:9" x14ac:dyDescent="0.25">
      <c r="B45" t="s">
        <v>59</v>
      </c>
      <c r="C45">
        <v>211</v>
      </c>
      <c r="D45">
        <v>211</v>
      </c>
      <c r="E45" t="s">
        <v>72</v>
      </c>
      <c r="F45" t="s">
        <v>76</v>
      </c>
    </row>
    <row r="46" spans="2:9" x14ac:dyDescent="0.25">
      <c r="B46" t="s">
        <v>60</v>
      </c>
      <c r="C46">
        <v>42000</v>
      </c>
      <c r="D46">
        <v>46000</v>
      </c>
      <c r="E46" t="s">
        <v>72</v>
      </c>
      <c r="F46" t="s">
        <v>75</v>
      </c>
      <c r="I46" t="s">
        <v>78</v>
      </c>
    </row>
    <row r="47" spans="2:9" x14ac:dyDescent="0.25">
      <c r="B47" t="s">
        <v>69</v>
      </c>
      <c r="C47">
        <v>0</v>
      </c>
      <c r="D47">
        <v>1</v>
      </c>
    </row>
    <row r="48" spans="2:9" x14ac:dyDescent="0.25">
      <c r="B48" t="s">
        <v>70</v>
      </c>
      <c r="C48" t="s">
        <v>71</v>
      </c>
      <c r="D48" t="s">
        <v>71</v>
      </c>
    </row>
  </sheetData>
  <mergeCells count="1">
    <mergeCell ref="B4:D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A3AC-5835-4B81-B4D5-D4699C3DEF9C}">
  <dimension ref="A1:K34"/>
  <sheetViews>
    <sheetView tabSelected="1" zoomScale="85" zoomScaleNormal="85" workbookViewId="0">
      <selection activeCell="N15" sqref="N15"/>
    </sheetView>
  </sheetViews>
  <sheetFormatPr defaultRowHeight="15" x14ac:dyDescent="0.25"/>
  <cols>
    <col min="1" max="1" width="8.85546875" style="2"/>
  </cols>
  <sheetData>
    <row r="1" spans="2:11" x14ac:dyDescent="0.25">
      <c r="C1" s="6" t="s">
        <v>79</v>
      </c>
      <c r="D1" s="6" t="s">
        <v>52</v>
      </c>
    </row>
    <row r="2" spans="2:11" x14ac:dyDescent="0.25">
      <c r="B2" s="2" t="s">
        <v>0</v>
      </c>
      <c r="C2" t="s">
        <v>80</v>
      </c>
      <c r="D2" t="s">
        <v>81</v>
      </c>
      <c r="E2" s="6" t="s">
        <v>82</v>
      </c>
      <c r="F2" s="6" t="s">
        <v>83</v>
      </c>
      <c r="G2" t="s">
        <v>84</v>
      </c>
      <c r="H2" t="s">
        <v>85</v>
      </c>
      <c r="I2" t="s">
        <v>98</v>
      </c>
      <c r="K2" t="s">
        <v>99</v>
      </c>
    </row>
    <row r="3" spans="2:11" x14ac:dyDescent="0.25">
      <c r="B3" s="2">
        <v>1</v>
      </c>
      <c r="C3">
        <v>1249.5999999999999</v>
      </c>
      <c r="D3">
        <v>2.6615528035732625</v>
      </c>
      <c r="E3">
        <v>6.0295454545454783</v>
      </c>
      <c r="F3">
        <f t="shared" ref="F3:F25" si="0">(3600/$D$29) * (1 + ($C$29/(4*PI()*D3)) * ($B$34 + $C$34*(C3/1000) + $D$34*(C3/1000)^2)) * (1/$E$34 * (1 + D3^$F$34 * ($G$34 + $H$34/(C3/1000) + $I$34/((C3/1000)^2) + $J$34/((C3/1000)^3) + $K$34/((C3/1000)^4))))</f>
        <v>5.6655761992907792</v>
      </c>
      <c r="G3">
        <f t="shared" ref="G3:G25" si="1">E3-F3</f>
        <v>0.36396925525469914</v>
      </c>
      <c r="H3">
        <f>G3^2</f>
        <v>0.13247361877066033</v>
      </c>
      <c r="I3" s="10">
        <f t="shared" ref="I3:I25" si="2">G3/E3</f>
        <v>6.0364294124412736E-2</v>
      </c>
      <c r="K3">
        <f>PEARSON(E3:E25,F3:F25)</f>
        <v>0.63728301006570076</v>
      </c>
    </row>
    <row r="4" spans="2:11" x14ac:dyDescent="0.25">
      <c r="B4" s="2">
        <v>2</v>
      </c>
      <c r="C4">
        <v>1779.7333333333333</v>
      </c>
      <c r="D4">
        <v>3.4553674592821761</v>
      </c>
      <c r="E4">
        <v>5.1243188894654637</v>
      </c>
      <c r="F4">
        <f t="shared" si="0"/>
        <v>4.6718558739201255</v>
      </c>
      <c r="G4">
        <f t="shared" si="1"/>
        <v>0.45246301554533819</v>
      </c>
      <c r="H4">
        <f t="shared" ref="H4:H25" si="3">G4^2</f>
        <v>0.20472278043638095</v>
      </c>
      <c r="I4" s="10">
        <f t="shared" si="2"/>
        <v>8.8297201112036233E-2</v>
      </c>
    </row>
    <row r="5" spans="2:11" x14ac:dyDescent="0.25">
      <c r="B5" s="2">
        <v>3</v>
      </c>
      <c r="C5">
        <v>2287.1466666666665</v>
      </c>
      <c r="D5">
        <v>4.3118483380817967</v>
      </c>
      <c r="E5">
        <v>4.6478823590759815</v>
      </c>
      <c r="F5">
        <f t="shared" si="0"/>
        <v>4.6728165428941546</v>
      </c>
      <c r="G5">
        <f t="shared" si="1"/>
        <v>-2.4934183818173139E-2</v>
      </c>
      <c r="H5">
        <f t="shared" si="3"/>
        <v>6.2171352267844726E-4</v>
      </c>
      <c r="I5" s="10">
        <f t="shared" si="2"/>
        <v>-5.3646331580410652E-3</v>
      </c>
    </row>
    <row r="6" spans="2:11" x14ac:dyDescent="0.25">
      <c r="B6" s="2" t="s">
        <v>31</v>
      </c>
      <c r="C6">
        <v>2499.1999999999998</v>
      </c>
      <c r="D6">
        <v>4.5197045092732679</v>
      </c>
      <c r="E6">
        <v>5.3259965034965253</v>
      </c>
      <c r="F6">
        <f t="shared" si="0"/>
        <v>4.7585210619533465</v>
      </c>
      <c r="G6">
        <f t="shared" si="1"/>
        <v>0.56747544154317886</v>
      </c>
      <c r="H6">
        <f t="shared" si="3"/>
        <v>0.32202837675462581</v>
      </c>
      <c r="I6" s="10">
        <f t="shared" si="2"/>
        <v>0.10654821894280822</v>
      </c>
    </row>
    <row r="7" spans="2:11" x14ac:dyDescent="0.25">
      <c r="B7" s="2">
        <v>5</v>
      </c>
      <c r="C7">
        <v>2385.6</v>
      </c>
      <c r="D7">
        <v>7.2554385114440647</v>
      </c>
      <c r="E7">
        <v>6.1239702015775803</v>
      </c>
      <c r="F7">
        <f t="shared" si="0"/>
        <v>5.3498020117476184</v>
      </c>
      <c r="G7">
        <f t="shared" si="1"/>
        <v>0.77416818982996194</v>
      </c>
      <c r="H7">
        <f t="shared" si="3"/>
        <v>0.59933638614459994</v>
      </c>
      <c r="I7" s="10">
        <f t="shared" si="2"/>
        <v>0.12641606088000404</v>
      </c>
    </row>
    <row r="8" spans="2:11" x14ac:dyDescent="0.25">
      <c r="B8" s="2">
        <v>6</v>
      </c>
      <c r="C8">
        <v>1984.2133333333334</v>
      </c>
      <c r="D8">
        <v>6.9801688363254613</v>
      </c>
      <c r="E8">
        <v>5.1710454424827121</v>
      </c>
      <c r="F8">
        <f t="shared" si="0"/>
        <v>5.4265141140661974</v>
      </c>
      <c r="G8">
        <f t="shared" si="1"/>
        <v>-0.2554686715834853</v>
      </c>
      <c r="H8">
        <f t="shared" si="3"/>
        <v>6.5264242160630662E-2</v>
      </c>
      <c r="I8" s="10">
        <f t="shared" si="2"/>
        <v>-4.9403679473532178E-2</v>
      </c>
    </row>
    <row r="9" spans="2:11" x14ac:dyDescent="0.25">
      <c r="B9" s="2">
        <v>7</v>
      </c>
      <c r="C9">
        <v>1529.8133333333333</v>
      </c>
      <c r="D9">
        <v>4.4226110637270812</v>
      </c>
      <c r="E9">
        <v>5.0810877241570731</v>
      </c>
      <c r="F9">
        <f t="shared" si="0"/>
        <v>5.3513420740683086</v>
      </c>
      <c r="G9">
        <f t="shared" si="1"/>
        <v>-0.27025434991123554</v>
      </c>
      <c r="H9">
        <f t="shared" si="3"/>
        <v>7.3037413645944529E-2</v>
      </c>
      <c r="I9" s="10">
        <f t="shared" si="2"/>
        <v>-5.3188286560446933E-2</v>
      </c>
    </row>
    <row r="10" spans="2:11" x14ac:dyDescent="0.25">
      <c r="B10" s="2">
        <v>8</v>
      </c>
      <c r="C10">
        <v>1408.64</v>
      </c>
      <c r="D10">
        <v>3.7892128113913737</v>
      </c>
      <c r="E10">
        <v>5.9038635071763226</v>
      </c>
      <c r="F10">
        <f t="shared" si="0"/>
        <v>5.473579058355063</v>
      </c>
      <c r="G10">
        <f t="shared" si="1"/>
        <v>0.4302844488212596</v>
      </c>
      <c r="H10">
        <f t="shared" si="3"/>
        <v>0.18514470689741516</v>
      </c>
      <c r="I10" s="10">
        <f t="shared" si="2"/>
        <v>7.288184225435361E-2</v>
      </c>
    </row>
    <row r="11" spans="2:11" x14ac:dyDescent="0.25">
      <c r="B11" s="2">
        <v>9</v>
      </c>
      <c r="C11">
        <v>1317.7599999999998</v>
      </c>
      <c r="D11">
        <v>2.6573459234833146</v>
      </c>
      <c r="E11">
        <v>4.363218390804505</v>
      </c>
      <c r="F11">
        <f t="shared" si="0"/>
        <v>5.3855075505608836</v>
      </c>
      <c r="G11">
        <f t="shared" si="1"/>
        <v>-1.0222891597563786</v>
      </c>
      <c r="H11">
        <f t="shared" si="3"/>
        <v>1.0450751261554025</v>
      </c>
      <c r="I11" s="10">
        <f t="shared" si="2"/>
        <v>-0.23429704135618237</v>
      </c>
    </row>
    <row r="12" spans="2:11" x14ac:dyDescent="0.25">
      <c r="B12" s="2">
        <v>10</v>
      </c>
      <c r="C12">
        <v>1741.8666666666666</v>
      </c>
      <c r="D12">
        <v>2.6314656849241733</v>
      </c>
      <c r="E12">
        <v>4.5454545454546098</v>
      </c>
      <c r="F12">
        <f t="shared" si="0"/>
        <v>4.5344318081974553</v>
      </c>
      <c r="G12">
        <f t="shared" si="1"/>
        <v>1.1022737257154525E-2</v>
      </c>
      <c r="H12">
        <f t="shared" si="3"/>
        <v>1.2150073664026245E-4</v>
      </c>
      <c r="I12" s="10">
        <f t="shared" si="2"/>
        <v>2.425002196573961E-3</v>
      </c>
    </row>
    <row r="13" spans="2:11" x14ac:dyDescent="0.25">
      <c r="B13" s="2">
        <v>11</v>
      </c>
      <c r="C13">
        <v>2272</v>
      </c>
      <c r="D13">
        <v>2.949498574720077</v>
      </c>
      <c r="E13">
        <v>4.6636363636364289</v>
      </c>
      <c r="F13">
        <f t="shared" si="0"/>
        <v>4.4405339312593144</v>
      </c>
      <c r="G13">
        <f t="shared" si="1"/>
        <v>0.22310243237711447</v>
      </c>
      <c r="H13">
        <f t="shared" si="3"/>
        <v>4.9774695332584933E-2</v>
      </c>
      <c r="I13" s="10">
        <f t="shared" si="2"/>
        <v>4.7838728190023876E-2</v>
      </c>
    </row>
    <row r="14" spans="2:11" x14ac:dyDescent="0.25">
      <c r="B14" s="2">
        <v>12</v>
      </c>
      <c r="C14">
        <v>2605.2266666666669</v>
      </c>
      <c r="D14">
        <v>3.3346731161134375</v>
      </c>
      <c r="E14">
        <v>4.7675692197966333</v>
      </c>
      <c r="F14">
        <f t="shared" si="0"/>
        <v>4.6115145973010918</v>
      </c>
      <c r="G14">
        <f t="shared" si="1"/>
        <v>0.15605462249554147</v>
      </c>
      <c r="H14">
        <f t="shared" si="3"/>
        <v>2.4353045202225958E-2</v>
      </c>
      <c r="I14" s="10">
        <f t="shared" si="2"/>
        <v>3.2732534191123541E-2</v>
      </c>
      <c r="K14">
        <v>211</v>
      </c>
    </row>
    <row r="15" spans="2:11" x14ac:dyDescent="0.25">
      <c r="B15" s="2">
        <v>13</v>
      </c>
      <c r="C15">
        <v>2484.0533333333328</v>
      </c>
      <c r="D15">
        <v>5.5435958684707316</v>
      </c>
      <c r="E15">
        <v>4.8949834551049367</v>
      </c>
      <c r="F15">
        <f t="shared" si="0"/>
        <v>4.9672686259018066</v>
      </c>
      <c r="G15">
        <f t="shared" si="1"/>
        <v>-7.2285170796869913E-2</v>
      </c>
      <c r="H15">
        <f t="shared" si="3"/>
        <v>5.225145917132655E-3</v>
      </c>
      <c r="I15" s="10">
        <f t="shared" si="2"/>
        <v>-1.4767194099805245E-2</v>
      </c>
    </row>
    <row r="16" spans="2:11" x14ac:dyDescent="0.25">
      <c r="B16" s="2">
        <v>14</v>
      </c>
      <c r="C16">
        <v>2128.1066666666666</v>
      </c>
      <c r="D16">
        <v>5.1036908363693412</v>
      </c>
      <c r="E16">
        <v>4.5871933007936976</v>
      </c>
      <c r="F16">
        <f t="shared" si="0"/>
        <v>4.8646296510243019</v>
      </c>
      <c r="G16">
        <f t="shared" si="1"/>
        <v>-0.27743635023060431</v>
      </c>
      <c r="H16">
        <f t="shared" si="3"/>
        <v>7.6970928429278537E-2</v>
      </c>
      <c r="I16" s="10">
        <f t="shared" si="2"/>
        <v>-6.0480632063750393E-2</v>
      </c>
      <c r="K16">
        <f>1/0.85</f>
        <v>1.1764705882352942</v>
      </c>
    </row>
    <row r="17" spans="2:9" x14ac:dyDescent="0.25">
      <c r="B17" s="2">
        <v>15</v>
      </c>
      <c r="C17">
        <v>1567.68</v>
      </c>
      <c r="D17">
        <v>3.5428063783987893</v>
      </c>
      <c r="E17">
        <v>5.89494487206166</v>
      </c>
      <c r="F17">
        <f t="shared" si="0"/>
        <v>4.9911764224170971</v>
      </c>
      <c r="G17">
        <f t="shared" si="1"/>
        <v>0.90376844964456282</v>
      </c>
      <c r="H17">
        <f t="shared" si="3"/>
        <v>0.81679741057293664</v>
      </c>
      <c r="I17" s="10">
        <f t="shared" si="2"/>
        <v>0.15331245147479805</v>
      </c>
    </row>
    <row r="18" spans="2:9" x14ac:dyDescent="0.25">
      <c r="B18" s="2">
        <v>16</v>
      </c>
      <c r="C18">
        <v>1242.0266666666664</v>
      </c>
      <c r="D18">
        <v>2.9603127515534289</v>
      </c>
      <c r="E18">
        <v>5.8804185947072911</v>
      </c>
      <c r="F18">
        <f t="shared" si="0"/>
        <v>5.8201292243391975</v>
      </c>
      <c r="G18">
        <f t="shared" si="1"/>
        <v>6.0289370368093564E-2</v>
      </c>
      <c r="H18">
        <f t="shared" si="3"/>
        <v>3.6348081793811582E-3</v>
      </c>
      <c r="I18" s="10">
        <f t="shared" si="2"/>
        <v>1.025256440457443E-2</v>
      </c>
    </row>
    <row r="19" spans="2:9" x14ac:dyDescent="0.25">
      <c r="B19" s="2">
        <v>17</v>
      </c>
      <c r="C19">
        <v>1196.5866666666666</v>
      </c>
      <c r="D19">
        <v>2.8735003898302915</v>
      </c>
      <c r="E19">
        <v>6.0594683154220581</v>
      </c>
      <c r="F19">
        <f t="shared" si="0"/>
        <v>6.0214101137671374</v>
      </c>
      <c r="G19">
        <f t="shared" si="1"/>
        <v>3.8058201654920687E-2</v>
      </c>
      <c r="H19">
        <f t="shared" si="3"/>
        <v>1.4484267132066078E-3</v>
      </c>
      <c r="I19" s="10">
        <f t="shared" si="2"/>
        <v>6.2807823514908221E-3</v>
      </c>
    </row>
    <row r="20" spans="2:9" x14ac:dyDescent="0.25">
      <c r="B20" s="2">
        <v>18</v>
      </c>
      <c r="C20">
        <v>1582.8266666666666</v>
      </c>
      <c r="D20">
        <v>3.5650226619696053</v>
      </c>
      <c r="E20">
        <v>5.207057430804074</v>
      </c>
      <c r="F20">
        <f t="shared" si="0"/>
        <v>4.9690509408824157</v>
      </c>
      <c r="G20">
        <f t="shared" si="1"/>
        <v>0.23800648992165829</v>
      </c>
      <c r="H20">
        <f t="shared" si="3"/>
        <v>5.6647089244828433E-2</v>
      </c>
      <c r="I20" s="10">
        <f t="shared" si="2"/>
        <v>4.5708443412521629E-2</v>
      </c>
    </row>
    <row r="21" spans="2:9" x14ac:dyDescent="0.25">
      <c r="B21" s="2">
        <v>19</v>
      </c>
      <c r="C21">
        <v>2188.6933333333336</v>
      </c>
      <c r="D21">
        <v>5.1173300350607427</v>
      </c>
      <c r="E21">
        <v>4.5811101887810324</v>
      </c>
      <c r="F21">
        <f t="shared" si="0"/>
        <v>4.8546208297752163</v>
      </c>
      <c r="G21">
        <f t="shared" si="1"/>
        <v>-0.27351064099418387</v>
      </c>
      <c r="H21">
        <f t="shared" si="3"/>
        <v>7.4808070737049343E-2</v>
      </c>
      <c r="I21" s="10">
        <f t="shared" si="2"/>
        <v>-5.9704008356751867E-2</v>
      </c>
    </row>
    <row r="22" spans="2:9" x14ac:dyDescent="0.25">
      <c r="B22" s="2">
        <v>20</v>
      </c>
      <c r="C22">
        <v>2552.2133333333336</v>
      </c>
      <c r="D22">
        <v>5.4154630350333104</v>
      </c>
      <c r="E22">
        <v>4.5805906709613673</v>
      </c>
      <c r="F22">
        <f t="shared" si="0"/>
        <v>4.9596034243958833</v>
      </c>
      <c r="G22">
        <f t="shared" si="1"/>
        <v>-0.37901275343451601</v>
      </c>
      <c r="H22">
        <f t="shared" si="3"/>
        <v>0.14365066726601322</v>
      </c>
      <c r="I22" s="10">
        <f t="shared" si="2"/>
        <v>-8.2743205114848076E-2</v>
      </c>
    </row>
    <row r="23" spans="2:9" x14ac:dyDescent="0.25">
      <c r="B23" s="2">
        <v>21</v>
      </c>
      <c r="C23">
        <v>2809.7066666666665</v>
      </c>
      <c r="D23">
        <v>5.7676156511761043</v>
      </c>
      <c r="E23">
        <v>4.370356020758063</v>
      </c>
      <c r="F23">
        <f t="shared" si="0"/>
        <v>5.152263104860948</v>
      </c>
      <c r="G23">
        <f t="shared" si="1"/>
        <v>-0.78190708410288501</v>
      </c>
      <c r="H23">
        <f t="shared" si="3"/>
        <v>0.61137868817027607</v>
      </c>
      <c r="I23" s="10">
        <f t="shared" si="2"/>
        <v>-0.17891153040828439</v>
      </c>
    </row>
    <row r="24" spans="2:9" x14ac:dyDescent="0.25">
      <c r="B24" s="2">
        <v>22</v>
      </c>
      <c r="C24">
        <v>1325.3333333333333</v>
      </c>
      <c r="D24">
        <v>2.6568793131367858</v>
      </c>
      <c r="E24">
        <v>5.1114435302917691</v>
      </c>
      <c r="F24">
        <f t="shared" si="0"/>
        <v>5.3580365325692876</v>
      </c>
      <c r="G24">
        <f t="shared" si="1"/>
        <v>-0.24659300227751846</v>
      </c>
      <c r="H24">
        <f t="shared" si="3"/>
        <v>6.0808108772240223E-2</v>
      </c>
      <c r="I24" s="10">
        <f t="shared" si="2"/>
        <v>-4.8243319292513548E-2</v>
      </c>
    </row>
    <row r="25" spans="2:9" x14ac:dyDescent="0.25">
      <c r="B25" s="2" t="s">
        <v>32</v>
      </c>
      <c r="C25">
        <v>1544.9599999999998</v>
      </c>
      <c r="D25">
        <v>2.9484292862532366</v>
      </c>
      <c r="E25">
        <v>4.3124877858120607</v>
      </c>
      <c r="F25">
        <f t="shared" si="0"/>
        <v>4.8672577611094523</v>
      </c>
      <c r="G25">
        <f t="shared" si="1"/>
        <v>-0.55476997529739158</v>
      </c>
      <c r="H25">
        <f t="shared" si="3"/>
        <v>0.30776972549146847</v>
      </c>
      <c r="I25" s="10">
        <f t="shared" si="2"/>
        <v>-0.12864267746393765</v>
      </c>
    </row>
    <row r="26" spans="2:9" x14ac:dyDescent="0.25">
      <c r="I26" t="s">
        <v>97</v>
      </c>
    </row>
    <row r="27" spans="2:9" x14ac:dyDescent="0.25">
      <c r="H27">
        <f>SUM(H3:H26)</f>
        <v>4.8610926752536008</v>
      </c>
      <c r="I27">
        <f>SQRT(H27/23)</f>
        <v>0.4597301985358464</v>
      </c>
    </row>
    <row r="28" spans="2:9" x14ac:dyDescent="0.25">
      <c r="C28" s="6" t="s">
        <v>59</v>
      </c>
      <c r="D28" s="6" t="s">
        <v>60</v>
      </c>
    </row>
    <row r="29" spans="2:9" x14ac:dyDescent="0.25">
      <c r="C29">
        <v>211</v>
      </c>
      <c r="D29">
        <v>43000</v>
      </c>
    </row>
    <row r="31" spans="2:9" x14ac:dyDescent="0.25">
      <c r="B31" t="s">
        <v>86</v>
      </c>
    </row>
    <row r="33" spans="2:11" x14ac:dyDescent="0.25">
      <c r="B33" s="6" t="s">
        <v>87</v>
      </c>
      <c r="C33" s="6" t="s">
        <v>88</v>
      </c>
      <c r="D33" s="6" t="s">
        <v>89</v>
      </c>
      <c r="E33" s="6" t="s">
        <v>90</v>
      </c>
      <c r="F33" s="6" t="s">
        <v>91</v>
      </c>
      <c r="G33" s="6" t="s">
        <v>92</v>
      </c>
      <c r="H33" s="6" t="s">
        <v>93</v>
      </c>
      <c r="I33" s="6" t="s">
        <v>94</v>
      </c>
      <c r="J33" s="6" t="s">
        <v>95</v>
      </c>
      <c r="K33" s="6" t="s">
        <v>96</v>
      </c>
    </row>
    <row r="34" spans="2:11" x14ac:dyDescent="0.25">
      <c r="B34">
        <v>0.91571066142285595</v>
      </c>
      <c r="C34">
        <v>-1.0000000000000009E-3</v>
      </c>
      <c r="D34">
        <v>0.11503389442100137</v>
      </c>
      <c r="E34">
        <v>0.93429407948761301</v>
      </c>
      <c r="F34">
        <v>1.2034494975522594</v>
      </c>
      <c r="G34">
        <v>0.56380413299171195</v>
      </c>
      <c r="H34">
        <v>0.86130302391964331</v>
      </c>
      <c r="I34">
        <v>0.66628339772758116</v>
      </c>
      <c r="J34">
        <v>0.51390233829627041</v>
      </c>
      <c r="K34">
        <v>0.51761118985848298</v>
      </c>
    </row>
  </sheetData>
  <scenarios current="0">
    <scenario name="it1" count="10" user="asus" comment="Created by asus on 5/2/2025">
      <inputCells r="B34" val="0.525153080824232"/>
      <inputCells r="C34" val="0.615191450229465"/>
      <inputCells r="D34" val="0.0383313263102362"/>
      <inputCells r="E34" val="1.37808458145384"/>
      <inputCells r="F34" val="1.22546479139941"/>
      <inputCells r="G34" val="0.465849375993196"/>
      <inputCells r="H34" val="1.23315395792016"/>
      <inputCells r="I34" val="0.420296529817757"/>
      <inputCells r="J34" val="2.12071367489018"/>
      <inputCells r="K34" val="-0.330173835520444"/>
    </scenario>
    <scenario name="it2" count="10" user="asus" comment="Created by asus on 5/2/2025">
      <inputCells r="B34" val="0.00001"/>
      <inputCells r="C34" val="-0.00001"/>
      <inputCells r="D34" val="0.0205493162357654"/>
      <inputCells r="E34" val="0.0497426236568499"/>
      <inputCells r="F34" val="0.828950791272443"/>
      <inputCells r="G34" val="-0.879959585367887"/>
      <inputCells r="H34" val="5.54300743328504"/>
      <inputCells r="I34" val="-8.73351181073538"/>
      <inputCells r="J34" val="4.88955670277636"/>
      <inputCells r="K34" val="0.823268228312197"/>
    </scenario>
    <scenario name="it3" count="10" user="asus" comment="Created by asus on 5/2/2025">
      <inputCells r="B34" val="0.822388065092746"/>
      <inputCells r="C34" val="-0.00001"/>
      <inputCells r="D34" val="0.0913772247617868"/>
      <inputCells r="E34" val="0.932957145781268"/>
      <inputCells r="F34" val="1.17394356150435"/>
      <inputCells r="G34" val="0.771144454410951"/>
      <inputCells r="H34" val="0.92497562008993"/>
      <inputCells r="I34" val="0.749297938469221"/>
      <inputCells r="J34" val="0.606316254993207"/>
      <inputCells r="K34" val="0.701116755659485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(30 Apr '25)</vt:lpstr>
      <vt:lpstr>agni eff</vt:lpstr>
      <vt:lpstr>engine data</vt:lpstr>
      <vt:lpstr>goering_matlab</vt:lpstr>
      <vt:lpstr>goering_excel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 Charlise Alberca</dc:creator>
  <cp:lastModifiedBy>Frank Borger</cp:lastModifiedBy>
  <dcterms:created xsi:type="dcterms:W3CDTF">2025-05-01T08:05:50Z</dcterms:created>
  <dcterms:modified xsi:type="dcterms:W3CDTF">2026-02-16T06:57:16Z</dcterms:modified>
</cp:coreProperties>
</file>