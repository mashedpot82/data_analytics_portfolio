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n\Desktop\Data Analytics\Control Implementation of a series-parallel hybrid drivetrain\"/>
    </mc:Choice>
  </mc:AlternateContent>
  <xr:revisionPtr revIDLastSave="0" documentId="8_{46371785-9D8C-4F5D-A5AB-7A5020C923B9}" xr6:coauthVersionLast="47" xr6:coauthVersionMax="47" xr10:uidLastSave="{00000000-0000-0000-0000-000000000000}"/>
  <bookViews>
    <workbookView xWindow="435" yWindow="345" windowWidth="28800" windowHeight="15885" xr2:uid="{6428B49A-A629-4432-B16E-8C09D7206E84}"/>
  </bookViews>
  <sheets>
    <sheet name="OOL and Rack Data" sheetId="1" r:id="rId1"/>
    <sheet name="drive cycle" sheetId="2" r:id="rId2"/>
  </sheets>
  <definedNames>
    <definedName name="a_1">'OOL and Rack Data'!$C$41</definedName>
    <definedName name="dn_dx">'OOL and Rack Data'!$M$59</definedName>
    <definedName name="idle_rpm">'OOL and Rack Data'!$O$51</definedName>
    <definedName name="nmax">'OOL and Rack Data'!$C$34</definedName>
    <definedName name="nt">'OOL and Rack Data'!$C$32</definedName>
    <definedName name="solver_adj" localSheetId="0" hidden="1">'OOL and Rack Data'!$C$38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'OOL and Rack Data'!$C$39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1</definedName>
    <definedName name="solver_ver" localSheetId="0" hidden="1">3</definedName>
    <definedName name="theta_t">'OOL and Rack Data'!$C$38</definedName>
    <definedName name="xmax">'OOL and Rack Data'!#REF!</definedName>
    <definedName name="xt">'OOL and Rack Data'!$C$30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2" l="1"/>
  <c r="K40" i="2" s="1"/>
  <c r="I39" i="2"/>
  <c r="K39" i="2" s="1"/>
  <c r="I38" i="2"/>
  <c r="K38" i="2" s="1"/>
  <c r="I37" i="2"/>
  <c r="K37" i="2" s="1"/>
  <c r="I36" i="2"/>
  <c r="K36" i="2" s="1"/>
  <c r="I35" i="2"/>
  <c r="K35" i="2" s="1"/>
  <c r="I34" i="2"/>
  <c r="K34" i="2" s="1"/>
  <c r="I33" i="2"/>
  <c r="K33" i="2" s="1"/>
  <c r="I32" i="2"/>
  <c r="K32" i="2" s="1"/>
  <c r="I31" i="2"/>
  <c r="K31" i="2" s="1"/>
  <c r="I30" i="2"/>
  <c r="K30" i="2" s="1"/>
  <c r="I29" i="2"/>
  <c r="K29" i="2" s="1"/>
  <c r="I28" i="2"/>
  <c r="K28" i="2" s="1"/>
  <c r="I27" i="2"/>
  <c r="K27" i="2" s="1"/>
  <c r="B2" i="2"/>
  <c r="K3" i="2"/>
  <c r="I26" i="2"/>
  <c r="K26" i="2" s="1"/>
  <c r="I25" i="2"/>
  <c r="K25" i="2" s="1"/>
  <c r="I24" i="2"/>
  <c r="K24" i="2" s="1"/>
  <c r="I23" i="2"/>
  <c r="K23" i="2" s="1"/>
  <c r="I22" i="2"/>
  <c r="K22" i="2" s="1"/>
  <c r="I21" i="2"/>
  <c r="K21" i="2" s="1"/>
  <c r="I20" i="2"/>
  <c r="K20" i="2" s="1"/>
  <c r="I19" i="2"/>
  <c r="K19" i="2" s="1"/>
  <c r="I18" i="2"/>
  <c r="K18" i="2" s="1"/>
  <c r="I17" i="2"/>
  <c r="K17" i="2" s="1"/>
  <c r="I16" i="2"/>
  <c r="K16" i="2" s="1"/>
  <c r="I15" i="2"/>
  <c r="K15" i="2" s="1"/>
  <c r="I14" i="2"/>
  <c r="K14" i="2" s="1"/>
  <c r="I13" i="2"/>
  <c r="K13" i="2" s="1"/>
  <c r="I12" i="2"/>
  <c r="K12" i="2" s="1"/>
  <c r="I11" i="2"/>
  <c r="K11" i="2" s="1"/>
  <c r="I10" i="2"/>
  <c r="K10" i="2" s="1"/>
  <c r="I9" i="2"/>
  <c r="K9" i="2" s="1"/>
  <c r="I8" i="2"/>
  <c r="K8" i="2" s="1"/>
  <c r="I7" i="2"/>
  <c r="K7" i="2" s="1"/>
  <c r="I6" i="2"/>
  <c r="K6" i="2" s="1"/>
  <c r="I5" i="2"/>
  <c r="K5" i="2" s="1"/>
  <c r="I4" i="2"/>
  <c r="K4" i="2" s="1"/>
  <c r="H3" i="2" l="1"/>
  <c r="F4" i="2" s="1"/>
  <c r="H4" i="2" s="1"/>
  <c r="F5" i="2" s="1"/>
  <c r="H5" i="2" s="1"/>
  <c r="F6" i="2" s="1"/>
  <c r="H6" i="2" s="1"/>
  <c r="F7" i="2" s="1"/>
  <c r="H7" i="2" s="1"/>
  <c r="F8" i="2" s="1"/>
  <c r="H8" i="2" s="1"/>
  <c r="F9" i="2" s="1"/>
  <c r="H9" i="2" s="1"/>
  <c r="F10" i="2" s="1"/>
  <c r="H10" i="2" s="1"/>
  <c r="F11" i="2" s="1"/>
  <c r="H11" i="2" s="1"/>
  <c r="F12" i="2" s="1"/>
  <c r="H12" i="2" s="1"/>
  <c r="F13" i="2" s="1"/>
  <c r="H13" i="2" s="1"/>
  <c r="F14" i="2" s="1"/>
  <c r="H14" i="2" s="1"/>
  <c r="F15" i="2" l="1"/>
  <c r="H15" i="2" s="1"/>
  <c r="F16" i="2" s="1"/>
  <c r="H16" i="2" s="1"/>
  <c r="F17" i="2" s="1"/>
  <c r="H17" i="2" s="1"/>
  <c r="F18" i="2" s="1"/>
  <c r="H18" i="2" s="1"/>
  <c r="F19" i="2" s="1"/>
  <c r="H19" i="2" s="1"/>
  <c r="F20" i="2" s="1"/>
  <c r="H20" i="2" s="1"/>
  <c r="A3" i="2"/>
  <c r="F21" i="2" l="1"/>
  <c r="H21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M60" i="1" a="1"/>
  <c r="M60" i="1" s="1"/>
  <c r="C33" i="1"/>
  <c r="E32" i="1"/>
  <c r="E33" i="1" s="1"/>
  <c r="N51" i="1"/>
  <c r="F22" i="2" l="1"/>
  <c r="H22" i="2" s="1"/>
  <c r="F23" i="2" s="1"/>
  <c r="H23" i="2" s="1"/>
  <c r="C749" i="2"/>
  <c r="C741" i="2"/>
  <c r="C733" i="2"/>
  <c r="C725" i="2"/>
  <c r="C717" i="2"/>
  <c r="C709" i="2"/>
  <c r="C701" i="2"/>
  <c r="C693" i="2"/>
  <c r="C685" i="2"/>
  <c r="C677" i="2"/>
  <c r="C669" i="2"/>
  <c r="C661" i="2"/>
  <c r="C653" i="2"/>
  <c r="C645" i="2"/>
  <c r="C637" i="2"/>
  <c r="C629" i="2"/>
  <c r="C621" i="2"/>
  <c r="C613" i="2"/>
  <c r="C605" i="2"/>
  <c r="C597" i="2"/>
  <c r="C589" i="2"/>
  <c r="C581" i="2"/>
  <c r="C573" i="2"/>
  <c r="C565" i="2"/>
  <c r="C557" i="2"/>
  <c r="C549" i="2"/>
  <c r="C541" i="2"/>
  <c r="C533" i="2"/>
  <c r="C525" i="2"/>
  <c r="C517" i="2"/>
  <c r="C509" i="2"/>
  <c r="C501" i="2"/>
  <c r="C493" i="2"/>
  <c r="C485" i="2"/>
  <c r="C477" i="2"/>
  <c r="C469" i="2"/>
  <c r="C461" i="2"/>
  <c r="C453" i="2"/>
  <c r="C445" i="2"/>
  <c r="C437" i="2"/>
  <c r="C429" i="2"/>
  <c r="C421" i="2"/>
  <c r="C413" i="2"/>
  <c r="C405" i="2"/>
  <c r="C397" i="2"/>
  <c r="C748" i="2"/>
  <c r="C747" i="2"/>
  <c r="C746" i="2"/>
  <c r="C738" i="2"/>
  <c r="C730" i="2"/>
  <c r="C722" i="2"/>
  <c r="C714" i="2"/>
  <c r="C706" i="2"/>
  <c r="C698" i="2"/>
  <c r="C690" i="2"/>
  <c r="C682" i="2"/>
  <c r="C674" i="2"/>
  <c r="C666" i="2"/>
  <c r="C658" i="2"/>
  <c r="C650" i="2"/>
  <c r="C642" i="2"/>
  <c r="C634" i="2"/>
  <c r="C626" i="2"/>
  <c r="C618" i="2"/>
  <c r="C610" i="2"/>
  <c r="C602" i="2"/>
  <c r="C594" i="2"/>
  <c r="C586" i="2"/>
  <c r="C578" i="2"/>
  <c r="C570" i="2"/>
  <c r="C562" i="2"/>
  <c r="C554" i="2"/>
  <c r="C546" i="2"/>
  <c r="C538" i="2"/>
  <c r="C530" i="2"/>
  <c r="C522" i="2"/>
  <c r="C514" i="2"/>
  <c r="C506" i="2"/>
  <c r="C498" i="2"/>
  <c r="C490" i="2"/>
  <c r="C482" i="2"/>
  <c r="C474" i="2"/>
  <c r="C466" i="2"/>
  <c r="C458" i="2"/>
  <c r="C450" i="2"/>
  <c r="C745" i="2"/>
  <c r="C737" i="2"/>
  <c r="C729" i="2"/>
  <c r="C721" i="2"/>
  <c r="C713" i="2"/>
  <c r="C705" i="2"/>
  <c r="C697" i="2"/>
  <c r="C689" i="2"/>
  <c r="C681" i="2"/>
  <c r="C673" i="2"/>
  <c r="C665" i="2"/>
  <c r="C657" i="2"/>
  <c r="C649" i="2"/>
  <c r="C641" i="2"/>
  <c r="C633" i="2"/>
  <c r="C625" i="2"/>
  <c r="C617" i="2"/>
  <c r="C609" i="2"/>
  <c r="C601" i="2"/>
  <c r="C593" i="2"/>
  <c r="C585" i="2"/>
  <c r="C577" i="2"/>
  <c r="C569" i="2"/>
  <c r="C561" i="2"/>
  <c r="C553" i="2"/>
  <c r="C545" i="2"/>
  <c r="C537" i="2"/>
  <c r="C529" i="2"/>
  <c r="C521" i="2"/>
  <c r="C513" i="2"/>
  <c r="C505" i="2"/>
  <c r="C497" i="2"/>
  <c r="C489" i="2"/>
  <c r="C481" i="2"/>
  <c r="C473" i="2"/>
  <c r="C465" i="2"/>
  <c r="C457" i="2"/>
  <c r="C449" i="2"/>
  <c r="C744" i="2"/>
  <c r="C736" i="2"/>
  <c r="C728" i="2"/>
  <c r="C720" i="2"/>
  <c r="C712" i="2"/>
  <c r="C704" i="2"/>
  <c r="C696" i="2"/>
  <c r="C688" i="2"/>
  <c r="C680" i="2"/>
  <c r="C672" i="2"/>
  <c r="C664" i="2"/>
  <c r="C656" i="2"/>
  <c r="C648" i="2"/>
  <c r="C640" i="2"/>
  <c r="C632" i="2"/>
  <c r="C624" i="2"/>
  <c r="C616" i="2"/>
  <c r="C608" i="2"/>
  <c r="C600" i="2"/>
  <c r="C592" i="2"/>
  <c r="C584" i="2"/>
  <c r="C576" i="2"/>
  <c r="C568" i="2"/>
  <c r="C560" i="2"/>
  <c r="C552" i="2"/>
  <c r="C544" i="2"/>
  <c r="C536" i="2"/>
  <c r="C528" i="2"/>
  <c r="C520" i="2"/>
  <c r="C512" i="2"/>
  <c r="C504" i="2"/>
  <c r="C496" i="2"/>
  <c r="C488" i="2"/>
  <c r="C480" i="2"/>
  <c r="C472" i="2"/>
  <c r="C464" i="2"/>
  <c r="C751" i="2"/>
  <c r="C743" i="2"/>
  <c r="C735" i="2"/>
  <c r="C727" i="2"/>
  <c r="C719" i="2"/>
  <c r="C711" i="2"/>
  <c r="C703" i="2"/>
  <c r="C695" i="2"/>
  <c r="C687" i="2"/>
  <c r="C679" i="2"/>
  <c r="C671" i="2"/>
  <c r="C663" i="2"/>
  <c r="C655" i="2"/>
  <c r="C647" i="2"/>
  <c r="C639" i="2"/>
  <c r="C631" i="2"/>
  <c r="C623" i="2"/>
  <c r="C615" i="2"/>
  <c r="C607" i="2"/>
  <c r="C599" i="2"/>
  <c r="C591" i="2"/>
  <c r="C583" i="2"/>
  <c r="C575" i="2"/>
  <c r="C567" i="2"/>
  <c r="C559" i="2"/>
  <c r="C551" i="2"/>
  <c r="C543" i="2"/>
  <c r="C535" i="2"/>
  <c r="C527" i="2"/>
  <c r="C519" i="2"/>
  <c r="C511" i="2"/>
  <c r="C503" i="2"/>
  <c r="C495" i="2"/>
  <c r="C487" i="2"/>
  <c r="C479" i="2"/>
  <c r="C471" i="2"/>
  <c r="C463" i="2"/>
  <c r="C455" i="2"/>
  <c r="C447" i="2"/>
  <c r="C742" i="2"/>
  <c r="C723" i="2"/>
  <c r="C700" i="2"/>
  <c r="C678" i="2"/>
  <c r="C659" i="2"/>
  <c r="C636" i="2"/>
  <c r="C614" i="2"/>
  <c r="C595" i="2"/>
  <c r="C572" i="2"/>
  <c r="C550" i="2"/>
  <c r="C531" i="2"/>
  <c r="C508" i="2"/>
  <c r="C486" i="2"/>
  <c r="C467" i="2"/>
  <c r="C448" i="2"/>
  <c r="C438" i="2"/>
  <c r="C428" i="2"/>
  <c r="C419" i="2"/>
  <c r="C410" i="2"/>
  <c r="C401" i="2"/>
  <c r="C392" i="2"/>
  <c r="C384" i="2"/>
  <c r="C376" i="2"/>
  <c r="C740" i="2"/>
  <c r="C718" i="2"/>
  <c r="C699" i="2"/>
  <c r="C676" i="2"/>
  <c r="C654" i="2"/>
  <c r="C635" i="2"/>
  <c r="C612" i="2"/>
  <c r="C590" i="2"/>
  <c r="C571" i="2"/>
  <c r="C548" i="2"/>
  <c r="C526" i="2"/>
  <c r="C507" i="2"/>
  <c r="C484" i="2"/>
  <c r="C462" i="2"/>
  <c r="C446" i="2"/>
  <c r="C436" i="2"/>
  <c r="C427" i="2"/>
  <c r="C418" i="2"/>
  <c r="C409" i="2"/>
  <c r="C400" i="2"/>
  <c r="C391" i="2"/>
  <c r="C383" i="2"/>
  <c r="C375" i="2"/>
  <c r="C367" i="2"/>
  <c r="C359" i="2"/>
  <c r="C351" i="2"/>
  <c r="C343" i="2"/>
  <c r="C335" i="2"/>
  <c r="C327" i="2"/>
  <c r="C319" i="2"/>
  <c r="C311" i="2"/>
  <c r="C303" i="2"/>
  <c r="C295" i="2"/>
  <c r="C287" i="2"/>
  <c r="C279" i="2"/>
  <c r="C271" i="2"/>
  <c r="C263" i="2"/>
  <c r="C255" i="2"/>
  <c r="C247" i="2"/>
  <c r="C239" i="2"/>
  <c r="C739" i="2"/>
  <c r="C716" i="2"/>
  <c r="C694" i="2"/>
  <c r="C675" i="2"/>
  <c r="C652" i="2"/>
  <c r="C630" i="2"/>
  <c r="C611" i="2"/>
  <c r="C588" i="2"/>
  <c r="C566" i="2"/>
  <c r="C547" i="2"/>
  <c r="C524" i="2"/>
  <c r="C502" i="2"/>
  <c r="C483" i="2"/>
  <c r="C460" i="2"/>
  <c r="C444" i="2"/>
  <c r="C435" i="2"/>
  <c r="C426" i="2"/>
  <c r="C417" i="2"/>
  <c r="C408" i="2"/>
  <c r="C399" i="2"/>
  <c r="C390" i="2"/>
  <c r="C382" i="2"/>
  <c r="C374" i="2"/>
  <c r="C366" i="2"/>
  <c r="C358" i="2"/>
  <c r="C350" i="2"/>
  <c r="C342" i="2"/>
  <c r="C334" i="2"/>
  <c r="C326" i="2"/>
  <c r="C318" i="2"/>
  <c r="C310" i="2"/>
  <c r="C302" i="2"/>
  <c r="C294" i="2"/>
  <c r="C286" i="2"/>
  <c r="C278" i="2"/>
  <c r="C270" i="2"/>
  <c r="C262" i="2"/>
  <c r="C254" i="2"/>
  <c r="C246" i="2"/>
  <c r="C238" i="2"/>
  <c r="C734" i="2"/>
  <c r="C715" i="2"/>
  <c r="C692" i="2"/>
  <c r="C670" i="2"/>
  <c r="C651" i="2"/>
  <c r="C628" i="2"/>
  <c r="C606" i="2"/>
  <c r="C587" i="2"/>
  <c r="C564" i="2"/>
  <c r="C542" i="2"/>
  <c r="C523" i="2"/>
  <c r="C500" i="2"/>
  <c r="C478" i="2"/>
  <c r="C459" i="2"/>
  <c r="C443" i="2"/>
  <c r="C434" i="2"/>
  <c r="C425" i="2"/>
  <c r="C416" i="2"/>
  <c r="C407" i="2"/>
  <c r="C398" i="2"/>
  <c r="C389" i="2"/>
  <c r="C381" i="2"/>
  <c r="C373" i="2"/>
  <c r="C365" i="2"/>
  <c r="C357" i="2"/>
  <c r="C349" i="2"/>
  <c r="C341" i="2"/>
  <c r="C333" i="2"/>
  <c r="C325" i="2"/>
  <c r="C317" i="2"/>
  <c r="C309" i="2"/>
  <c r="C301" i="2"/>
  <c r="C293" i="2"/>
  <c r="C285" i="2"/>
  <c r="C277" i="2"/>
  <c r="C269" i="2"/>
  <c r="C261" i="2"/>
  <c r="C253" i="2"/>
  <c r="C245" i="2"/>
  <c r="C237" i="2"/>
  <c r="C229" i="2"/>
  <c r="C221" i="2"/>
  <c r="C213" i="2"/>
  <c r="C205" i="2"/>
  <c r="C197" i="2"/>
  <c r="C189" i="2"/>
  <c r="C181" i="2"/>
  <c r="C173" i="2"/>
  <c r="C165" i="2"/>
  <c r="C157" i="2"/>
  <c r="C149" i="2"/>
  <c r="C141" i="2"/>
  <c r="C133" i="2"/>
  <c r="C125" i="2"/>
  <c r="C117" i="2"/>
  <c r="C109" i="2"/>
  <c r="C101" i="2"/>
  <c r="C93" i="2"/>
  <c r="C85" i="2"/>
  <c r="C77" i="2"/>
  <c r="C69" i="2"/>
  <c r="C61" i="2"/>
  <c r="C53" i="2"/>
  <c r="C45" i="2"/>
  <c r="C37" i="2"/>
  <c r="C29" i="2"/>
  <c r="C21" i="2"/>
  <c r="C13" i="2"/>
  <c r="C5" i="2"/>
  <c r="C691" i="2"/>
  <c r="C540" i="2"/>
  <c r="C476" i="2"/>
  <c r="C442" i="2"/>
  <c r="C424" i="2"/>
  <c r="C406" i="2"/>
  <c r="C388" i="2"/>
  <c r="C372" i="2"/>
  <c r="C356" i="2"/>
  <c r="C340" i="2"/>
  <c r="C324" i="2"/>
  <c r="C732" i="2"/>
  <c r="C710" i="2"/>
  <c r="C668" i="2"/>
  <c r="C646" i="2"/>
  <c r="C627" i="2"/>
  <c r="C604" i="2"/>
  <c r="C582" i="2"/>
  <c r="C563" i="2"/>
  <c r="C518" i="2"/>
  <c r="C499" i="2"/>
  <c r="C456" i="2"/>
  <c r="C433" i="2"/>
  <c r="C415" i="2"/>
  <c r="C396" i="2"/>
  <c r="C380" i="2"/>
  <c r="C364" i="2"/>
  <c r="C348" i="2"/>
  <c r="C332" i="2"/>
  <c r="C731" i="2"/>
  <c r="C708" i="2"/>
  <c r="C686" i="2"/>
  <c r="C667" i="2"/>
  <c r="C644" i="2"/>
  <c r="C622" i="2"/>
  <c r="C603" i="2"/>
  <c r="C580" i="2"/>
  <c r="C558" i="2"/>
  <c r="C539" i="2"/>
  <c r="C516" i="2"/>
  <c r="C494" i="2"/>
  <c r="C475" i="2"/>
  <c r="C454" i="2"/>
  <c r="C441" i="2"/>
  <c r="C432" i="2"/>
  <c r="C423" i="2"/>
  <c r="C414" i="2"/>
  <c r="C404" i="2"/>
  <c r="C395" i="2"/>
  <c r="C387" i="2"/>
  <c r="C379" i="2"/>
  <c r="C371" i="2"/>
  <c r="C363" i="2"/>
  <c r="C355" i="2"/>
  <c r="C347" i="2"/>
  <c r="C339" i="2"/>
  <c r="C331" i="2"/>
  <c r="C323" i="2"/>
  <c r="C315" i="2"/>
  <c r="C307" i="2"/>
  <c r="C299" i="2"/>
  <c r="C291" i="2"/>
  <c r="C283" i="2"/>
  <c r="C275" i="2"/>
  <c r="C267" i="2"/>
  <c r="C259" i="2"/>
  <c r="C251" i="2"/>
  <c r="C243" i="2"/>
  <c r="C235" i="2"/>
  <c r="C227" i="2"/>
  <c r="C219" i="2"/>
  <c r="C211" i="2"/>
  <c r="C203" i="2"/>
  <c r="C195" i="2"/>
  <c r="C187" i="2"/>
  <c r="C179" i="2"/>
  <c r="C171" i="2"/>
  <c r="C163" i="2"/>
  <c r="C155" i="2"/>
  <c r="C147" i="2"/>
  <c r="C139" i="2"/>
  <c r="C131" i="2"/>
  <c r="C123" i="2"/>
  <c r="C115" i="2"/>
  <c r="C107" i="2"/>
  <c r="C99" i="2"/>
  <c r="C91" i="2"/>
  <c r="C83" i="2"/>
  <c r="C75" i="2"/>
  <c r="C67" i="2"/>
  <c r="C59" i="2"/>
  <c r="C51" i="2"/>
  <c r="C43" i="2"/>
  <c r="C35" i="2"/>
  <c r="C27" i="2"/>
  <c r="C19" i="2"/>
  <c r="C11" i="2"/>
  <c r="C3" i="2"/>
  <c r="C750" i="2"/>
  <c r="C683" i="2"/>
  <c r="C638" i="2"/>
  <c r="C619" i="2"/>
  <c r="C574" i="2"/>
  <c r="C532" i="2"/>
  <c r="C491" i="2"/>
  <c r="C451" i="2"/>
  <c r="C430" i="2"/>
  <c r="C726" i="2"/>
  <c r="C707" i="2"/>
  <c r="C684" i="2"/>
  <c r="C662" i="2"/>
  <c r="C643" i="2"/>
  <c r="C620" i="2"/>
  <c r="C598" i="2"/>
  <c r="C579" i="2"/>
  <c r="C556" i="2"/>
  <c r="C534" i="2"/>
  <c r="C515" i="2"/>
  <c r="C492" i="2"/>
  <c r="C470" i="2"/>
  <c r="C452" i="2"/>
  <c r="C440" i="2"/>
  <c r="C431" i="2"/>
  <c r="C422" i="2"/>
  <c r="C412" i="2"/>
  <c r="C403" i="2"/>
  <c r="C394" i="2"/>
  <c r="C386" i="2"/>
  <c r="C378" i="2"/>
  <c r="C370" i="2"/>
  <c r="C362" i="2"/>
  <c r="C354" i="2"/>
  <c r="C346" i="2"/>
  <c r="C338" i="2"/>
  <c r="C330" i="2"/>
  <c r="C322" i="2"/>
  <c r="C314" i="2"/>
  <c r="C306" i="2"/>
  <c r="C298" i="2"/>
  <c r="C290" i="2"/>
  <c r="C282" i="2"/>
  <c r="C274" i="2"/>
  <c r="C266" i="2"/>
  <c r="C258" i="2"/>
  <c r="C250" i="2"/>
  <c r="C242" i="2"/>
  <c r="C234" i="2"/>
  <c r="C226" i="2"/>
  <c r="C218" i="2"/>
  <c r="C210" i="2"/>
  <c r="C202" i="2"/>
  <c r="C194" i="2"/>
  <c r="C186" i="2"/>
  <c r="C178" i="2"/>
  <c r="C170" i="2"/>
  <c r="C162" i="2"/>
  <c r="C154" i="2"/>
  <c r="C146" i="2"/>
  <c r="C138" i="2"/>
  <c r="C130" i="2"/>
  <c r="C122" i="2"/>
  <c r="C114" i="2"/>
  <c r="C106" i="2"/>
  <c r="C98" i="2"/>
  <c r="C90" i="2"/>
  <c r="C82" i="2"/>
  <c r="C74" i="2"/>
  <c r="C66" i="2"/>
  <c r="C58" i="2"/>
  <c r="C50" i="2"/>
  <c r="C42" i="2"/>
  <c r="C34" i="2"/>
  <c r="C26" i="2"/>
  <c r="C18" i="2"/>
  <c r="C10" i="2"/>
  <c r="C2" i="2"/>
  <c r="B3" i="2" s="1"/>
  <c r="B4" i="2" s="1"/>
  <c r="C724" i="2"/>
  <c r="C702" i="2"/>
  <c r="C660" i="2"/>
  <c r="C596" i="2"/>
  <c r="C555" i="2"/>
  <c r="C510" i="2"/>
  <c r="C468" i="2"/>
  <c r="C439" i="2"/>
  <c r="C20" i="2"/>
  <c r="C209" i="2"/>
  <c r="C134" i="2"/>
  <c r="C70" i="2"/>
  <c r="C6" i="2"/>
  <c r="C297" i="2"/>
  <c r="C222" i="2"/>
  <c r="C158" i="2"/>
  <c r="C80" i="2"/>
  <c r="C4" i="2"/>
  <c r="C402" i="2"/>
  <c r="C353" i="2"/>
  <c r="C257" i="2"/>
  <c r="C198" i="2"/>
  <c r="C145" i="2"/>
  <c r="C95" i="2"/>
  <c r="C56" i="2"/>
  <c r="C320" i="2"/>
  <c r="C208" i="2"/>
  <c r="C144" i="2"/>
  <c r="C68" i="2"/>
  <c r="C94" i="2"/>
  <c r="C385" i="2"/>
  <c r="C345" i="2"/>
  <c r="C316" i="2"/>
  <c r="C296" i="2"/>
  <c r="C273" i="2"/>
  <c r="C252" i="2"/>
  <c r="C232" i="2"/>
  <c r="C220" i="2"/>
  <c r="C207" i="2"/>
  <c r="C193" i="2"/>
  <c r="C182" i="2"/>
  <c r="C168" i="2"/>
  <c r="C156" i="2"/>
  <c r="C143" i="2"/>
  <c r="C129" i="2"/>
  <c r="C118" i="2"/>
  <c r="C104" i="2"/>
  <c r="C92" i="2"/>
  <c r="C79" i="2"/>
  <c r="C65" i="2"/>
  <c r="C54" i="2"/>
  <c r="C40" i="2"/>
  <c r="C28" i="2"/>
  <c r="C15" i="2"/>
  <c r="C39" i="2"/>
  <c r="C14" i="2"/>
  <c r="C336" i="2"/>
  <c r="C265" i="2"/>
  <c r="C228" i="2"/>
  <c r="C190" i="2"/>
  <c r="C164" i="2"/>
  <c r="C126" i="2"/>
  <c r="C87" i="2"/>
  <c r="C48" i="2"/>
  <c r="C23" i="2"/>
  <c r="C361" i="2"/>
  <c r="C305" i="2"/>
  <c r="C264" i="2"/>
  <c r="C225" i="2"/>
  <c r="C188" i="2"/>
  <c r="C150" i="2"/>
  <c r="C111" i="2"/>
  <c r="C60" i="2"/>
  <c r="C22" i="2"/>
  <c r="C411" i="2"/>
  <c r="C260" i="2"/>
  <c r="C212" i="2"/>
  <c r="C174" i="2"/>
  <c r="C148" i="2"/>
  <c r="C110" i="2"/>
  <c r="C71" i="2"/>
  <c r="C32" i="2"/>
  <c r="C280" i="2"/>
  <c r="C236" i="2"/>
  <c r="C184" i="2"/>
  <c r="C120" i="2"/>
  <c r="C31" i="2"/>
  <c r="C393" i="2"/>
  <c r="C233" i="2"/>
  <c r="C196" i="2"/>
  <c r="C119" i="2"/>
  <c r="C41" i="2"/>
  <c r="C377" i="2"/>
  <c r="C344" i="2"/>
  <c r="C313" i="2"/>
  <c r="C292" i="2"/>
  <c r="C272" i="2"/>
  <c r="C249" i="2"/>
  <c r="C231" i="2"/>
  <c r="C217" i="2"/>
  <c r="C206" i="2"/>
  <c r="C192" i="2"/>
  <c r="C180" i="2"/>
  <c r="C167" i="2"/>
  <c r="C153" i="2"/>
  <c r="C142" i="2"/>
  <c r="C128" i="2"/>
  <c r="C116" i="2"/>
  <c r="C103" i="2"/>
  <c r="C89" i="2"/>
  <c r="C78" i="2"/>
  <c r="C64" i="2"/>
  <c r="C52" i="2"/>
  <c r="C25" i="2"/>
  <c r="C368" i="2"/>
  <c r="C201" i="2"/>
  <c r="C151" i="2"/>
  <c r="C100" i="2"/>
  <c r="C62" i="2"/>
  <c r="C9" i="2"/>
  <c r="C329" i="2"/>
  <c r="C214" i="2"/>
  <c r="C161" i="2"/>
  <c r="C124" i="2"/>
  <c r="C86" i="2"/>
  <c r="C47" i="2"/>
  <c r="C360" i="2"/>
  <c r="C304" i="2"/>
  <c r="C240" i="2"/>
  <c r="C185" i="2"/>
  <c r="C135" i="2"/>
  <c r="C96" i="2"/>
  <c r="C57" i="2"/>
  <c r="C321" i="2"/>
  <c r="C159" i="2"/>
  <c r="C81" i="2"/>
  <c r="C17" i="2"/>
  <c r="C276" i="2"/>
  <c r="C169" i="2"/>
  <c r="C105" i="2"/>
  <c r="C30" i="2"/>
  <c r="C369" i="2"/>
  <c r="C337" i="2"/>
  <c r="C312" i="2"/>
  <c r="C289" i="2"/>
  <c r="C268" i="2"/>
  <c r="C248" i="2"/>
  <c r="C230" i="2"/>
  <c r="C216" i="2"/>
  <c r="C204" i="2"/>
  <c r="C191" i="2"/>
  <c r="C177" i="2"/>
  <c r="C166" i="2"/>
  <c r="C152" i="2"/>
  <c r="C140" i="2"/>
  <c r="C127" i="2"/>
  <c r="C113" i="2"/>
  <c r="C102" i="2"/>
  <c r="C88" i="2"/>
  <c r="C76" i="2"/>
  <c r="C63" i="2"/>
  <c r="C49" i="2"/>
  <c r="C38" i="2"/>
  <c r="C24" i="2"/>
  <c r="C12" i="2"/>
  <c r="C308" i="2"/>
  <c r="C288" i="2"/>
  <c r="C244" i="2"/>
  <c r="C215" i="2"/>
  <c r="C176" i="2"/>
  <c r="C137" i="2"/>
  <c r="C112" i="2"/>
  <c r="C73" i="2"/>
  <c r="C36" i="2"/>
  <c r="C420" i="2"/>
  <c r="C284" i="2"/>
  <c r="C241" i="2"/>
  <c r="C200" i="2"/>
  <c r="C175" i="2"/>
  <c r="C136" i="2"/>
  <c r="C97" i="2"/>
  <c r="C72" i="2"/>
  <c r="C33" i="2"/>
  <c r="C8" i="2"/>
  <c r="C328" i="2"/>
  <c r="C281" i="2"/>
  <c r="C224" i="2"/>
  <c r="C199" i="2"/>
  <c r="C160" i="2"/>
  <c r="C121" i="2"/>
  <c r="C84" i="2"/>
  <c r="C46" i="2"/>
  <c r="C7" i="2"/>
  <c r="C300" i="2"/>
  <c r="C223" i="2"/>
  <c r="C172" i="2"/>
  <c r="C108" i="2"/>
  <c r="C44" i="2"/>
  <c r="C352" i="2"/>
  <c r="C256" i="2"/>
  <c r="C183" i="2"/>
  <c r="C132" i="2"/>
  <c r="C55" i="2"/>
  <c r="C16" i="2"/>
  <c r="F24" i="2"/>
  <c r="H24" i="2" s="1"/>
  <c r="F25" i="2" s="1"/>
  <c r="H25" i="2" s="1"/>
  <c r="N52" i="1"/>
  <c r="N53" i="1" s="1"/>
  <c r="N54" i="1" s="1"/>
  <c r="N55" i="1" s="1"/>
  <c r="N56" i="1" s="1"/>
  <c r="N57" i="1" s="1"/>
  <c r="E34" i="1"/>
  <c r="E5" i="1"/>
  <c r="J5" i="1" s="1"/>
  <c r="E4" i="1"/>
  <c r="J4" i="1" s="1"/>
  <c r="E3" i="1"/>
  <c r="J3" i="1" s="1"/>
  <c r="D14" i="1"/>
  <c r="E14" i="1" s="1"/>
  <c r="J14" i="1" s="1"/>
  <c r="D13" i="1"/>
  <c r="E13" i="1" s="1"/>
  <c r="J13" i="1" s="1"/>
  <c r="D12" i="1"/>
  <c r="E12" i="1" s="1"/>
  <c r="J12" i="1" s="1"/>
  <c r="D11" i="1"/>
  <c r="E11" i="1" s="1"/>
  <c r="J11" i="1" s="1"/>
  <c r="D10" i="1"/>
  <c r="E10" i="1" s="1"/>
  <c r="J10" i="1" s="1"/>
  <c r="D9" i="1"/>
  <c r="E9" i="1" s="1"/>
  <c r="J9" i="1" s="1"/>
  <c r="D8" i="1"/>
  <c r="E8" i="1" s="1"/>
  <c r="J8" i="1" s="1"/>
  <c r="D7" i="1"/>
  <c r="E7" i="1" s="1"/>
  <c r="J7" i="1" s="1"/>
  <c r="D5" i="1"/>
  <c r="D4" i="1"/>
  <c r="D3" i="1"/>
  <c r="B6" i="1"/>
  <c r="D6" i="1" s="1"/>
  <c r="C14" i="1"/>
  <c r="C13" i="1"/>
  <c r="C12" i="1"/>
  <c r="C11" i="1"/>
  <c r="C10" i="1"/>
  <c r="C9" i="1"/>
  <c r="C8" i="1"/>
  <c r="C7" i="1"/>
  <c r="C5" i="1"/>
  <c r="C4" i="1"/>
  <c r="C3" i="1"/>
  <c r="B5" i="2" l="1"/>
  <c r="B6" i="2" s="1"/>
  <c r="B7" i="2" s="1"/>
  <c r="B8" i="2" s="1"/>
  <c r="B9" i="2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B572" i="2" s="1"/>
  <c r="B573" i="2" s="1"/>
  <c r="B574" i="2" s="1"/>
  <c r="B575" i="2" s="1"/>
  <c r="B576" i="2" s="1"/>
  <c r="B577" i="2" s="1"/>
  <c r="B578" i="2" s="1"/>
  <c r="B579" i="2" s="1"/>
  <c r="B580" i="2" s="1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B750" i="2" s="1"/>
  <c r="B751" i="2" s="1"/>
  <c r="B752" i="2" s="1"/>
  <c r="F26" i="2"/>
  <c r="H26" i="2" s="1"/>
  <c r="F4" i="1"/>
  <c r="F12" i="1"/>
  <c r="M59" i="1" a="1"/>
  <c r="M59" i="1" s="1"/>
  <c r="F14" i="1"/>
  <c r="F9" i="1"/>
  <c r="F10" i="1"/>
  <c r="F5" i="1"/>
  <c r="E35" i="1"/>
  <c r="F8" i="1"/>
  <c r="F13" i="1"/>
  <c r="F3" i="1"/>
  <c r="F7" i="1"/>
  <c r="F11" i="1"/>
  <c r="E6" i="1"/>
  <c r="C6" i="1"/>
  <c r="F27" i="2" l="1"/>
  <c r="H27" i="2" s="1"/>
  <c r="F28" i="2" s="1"/>
  <c r="H28" i="2" s="1"/>
  <c r="F29" i="2" s="1"/>
  <c r="H29" i="2" s="1"/>
  <c r="F30" i="2" s="1"/>
  <c r="H30" i="2" s="1"/>
  <c r="F31" i="2" s="1"/>
  <c r="H31" i="2" s="1"/>
  <c r="E36" i="1"/>
  <c r="J6" i="1"/>
  <c r="F6" i="1"/>
  <c r="F32" i="2" l="1"/>
  <c r="H32" i="2" s="1"/>
  <c r="F33" i="2" s="1"/>
  <c r="H33" i="2" s="1"/>
  <c r="F34" i="2" s="1"/>
  <c r="H34" i="2" s="1"/>
  <c r="F35" i="2" s="1"/>
  <c r="H35" i="2" s="1"/>
  <c r="F36" i="2" s="1"/>
  <c r="H36" i="2" s="1"/>
  <c r="F37" i="2" s="1"/>
  <c r="H37" i="2" s="1"/>
  <c r="F38" i="2" s="1"/>
  <c r="H38" i="2" s="1"/>
  <c r="F39" i="2" s="1"/>
  <c r="H39" i="2" s="1"/>
  <c r="F40" i="2" s="1"/>
  <c r="H40" i="2" s="1"/>
  <c r="C1173" i="2"/>
  <c r="C1109" i="2"/>
  <c r="C1045" i="2"/>
  <c r="C1276" i="2"/>
  <c r="C1419" i="2"/>
  <c r="C1145" i="2"/>
  <c r="C1081" i="2"/>
  <c r="C1017" i="2"/>
  <c r="C953" i="2"/>
  <c r="C889" i="2"/>
  <c r="C825" i="2"/>
  <c r="C1248" i="2"/>
  <c r="C1184" i="2"/>
  <c r="C1120" i="2"/>
  <c r="C1056" i="2"/>
  <c r="C1279" i="2"/>
  <c r="C1215" i="2"/>
  <c r="C1151" i="2"/>
  <c r="C1087" i="2"/>
  <c r="C1023" i="2"/>
  <c r="C959" i="2"/>
  <c r="C895" i="2"/>
  <c r="C831" i="2"/>
  <c r="C1123" i="2"/>
  <c r="C1003" i="2"/>
  <c r="C917" i="2"/>
  <c r="C832" i="2"/>
  <c r="C765" i="2"/>
  <c r="C1202" i="2"/>
  <c r="C1074" i="2"/>
  <c r="C970" i="2"/>
  <c r="C884" i="2"/>
  <c r="C804" i="2"/>
  <c r="C1165" i="2"/>
  <c r="C1101" i="2"/>
  <c r="C1037" i="2"/>
  <c r="C1460" i="2"/>
  <c r="C1268" i="2"/>
  <c r="C1219" i="2"/>
  <c r="C1265" i="2"/>
  <c r="C1201" i="2"/>
  <c r="C1137" i="2"/>
  <c r="C1073" i="2"/>
  <c r="C1009" i="2"/>
  <c r="C1238" i="2"/>
  <c r="C1157" i="2"/>
  <c r="C1093" i="2"/>
  <c r="C1029" i="2"/>
  <c r="C1339" i="2"/>
  <c r="C1275" i="2"/>
  <c r="C1321" i="2"/>
  <c r="C1193" i="2"/>
  <c r="C1129" i="2"/>
  <c r="C1065" i="2"/>
  <c r="C1001" i="2"/>
  <c r="C1230" i="2"/>
  <c r="C1213" i="2"/>
  <c r="C1149" i="2"/>
  <c r="C1085" i="2"/>
  <c r="C1021" i="2"/>
  <c r="C1459" i="2"/>
  <c r="C1267" i="2"/>
  <c r="C1234" i="2"/>
  <c r="C1441" i="2"/>
  <c r="C1313" i="2"/>
  <c r="C1185" i="2"/>
  <c r="C1121" i="2"/>
  <c r="C1057" i="2"/>
  <c r="C993" i="2"/>
  <c r="C929" i="2"/>
  <c r="C865" i="2"/>
  <c r="C1480" i="2"/>
  <c r="C1160" i="2"/>
  <c r="C1096" i="2"/>
  <c r="C1032" i="2"/>
  <c r="C1447" i="2"/>
  <c r="C1191" i="2"/>
  <c r="C1127" i="2"/>
  <c r="C1063" i="2"/>
  <c r="C999" i="2"/>
  <c r="C935" i="2"/>
  <c r="C871" i="2"/>
  <c r="C1075" i="2"/>
  <c r="C971" i="2"/>
  <c r="C885" i="2"/>
  <c r="C805" i="2"/>
  <c r="C1154" i="2"/>
  <c r="C1026" i="2"/>
  <c r="C938" i="2"/>
  <c r="C852" i="2"/>
  <c r="C780" i="2"/>
  <c r="C1166" i="2"/>
  <c r="C1038" i="2"/>
  <c r="C947" i="2"/>
  <c r="C861" i="2"/>
  <c r="C787" i="2"/>
  <c r="C1180" i="2"/>
  <c r="C1052" i="2"/>
  <c r="C956" i="2"/>
  <c r="C870" i="2"/>
  <c r="C794" i="2"/>
  <c r="C1147" i="2"/>
  <c r="C1019" i="2"/>
  <c r="C933" i="2"/>
  <c r="C848" i="2"/>
  <c r="C777" i="2"/>
  <c r="C1114" i="2"/>
  <c r="C996" i="2"/>
  <c r="C910" i="2"/>
  <c r="C826" i="2"/>
  <c r="C760" i="2"/>
  <c r="C1174" i="2"/>
  <c r="C1046" i="2"/>
  <c r="C1286" i="2"/>
  <c r="C1222" i="2"/>
  <c r="C1397" i="2"/>
  <c r="C1141" i="2"/>
  <c r="C1077" i="2"/>
  <c r="C1372" i="2"/>
  <c r="C1323" i="2"/>
  <c r="C1259" i="2"/>
  <c r="C1369" i="2"/>
  <c r="C1177" i="2"/>
  <c r="C1113" i="2"/>
  <c r="C1049" i="2"/>
  <c r="C985" i="2"/>
  <c r="C921" i="2"/>
  <c r="C857" i="2"/>
  <c r="C1472" i="2"/>
  <c r="C1152" i="2"/>
  <c r="C1088" i="2"/>
  <c r="C1024" i="2"/>
  <c r="C1439" i="2"/>
  <c r="C1311" i="2"/>
  <c r="C1183" i="2"/>
  <c r="C1119" i="2"/>
  <c r="C1055" i="2"/>
  <c r="C991" i="2"/>
  <c r="C927" i="2"/>
  <c r="C863" i="2"/>
  <c r="C1187" i="2"/>
  <c r="C1059" i="2"/>
  <c r="C960" i="2"/>
  <c r="C875" i="2"/>
  <c r="C797" i="2"/>
  <c r="C1138" i="2"/>
  <c r="C1012" i="2"/>
  <c r="C926" i="2"/>
  <c r="C842" i="2"/>
  <c r="C772" i="2"/>
  <c r="C1214" i="2"/>
  <c r="C1197" i="2"/>
  <c r="C1133" i="2"/>
  <c r="C1069" i="2"/>
  <c r="C1492" i="2"/>
  <c r="C1364" i="2"/>
  <c r="C1251" i="2"/>
  <c r="C1169" i="2"/>
  <c r="C1105" i="2"/>
  <c r="C1041" i="2"/>
  <c r="C977" i="2"/>
  <c r="C913" i="2"/>
  <c r="C849" i="2"/>
  <c r="C1144" i="2"/>
  <c r="C1080" i="2"/>
  <c r="C1495" i="2"/>
  <c r="C1303" i="2"/>
  <c r="C1175" i="2"/>
  <c r="C1111" i="2"/>
  <c r="C1047" i="2"/>
  <c r="C983" i="2"/>
  <c r="C919" i="2"/>
  <c r="C855" i="2"/>
  <c r="C1171" i="2"/>
  <c r="C1043" i="2"/>
  <c r="C949" i="2"/>
  <c r="C864" i="2"/>
  <c r="C789" i="2"/>
  <c r="C1122" i="2"/>
  <c r="C1002" i="2"/>
  <c r="C916" i="2"/>
  <c r="C830" i="2"/>
  <c r="C764" i="2"/>
  <c r="C1134" i="2"/>
  <c r="C1011" i="2"/>
  <c r="C925" i="2"/>
  <c r="C840" i="2"/>
  <c r="C771" i="2"/>
  <c r="C1148" i="2"/>
  <c r="C1020" i="2"/>
  <c r="C934" i="2"/>
  <c r="C850" i="2"/>
  <c r="C778" i="2"/>
  <c r="C1115" i="2"/>
  <c r="C997" i="2"/>
  <c r="C912" i="2"/>
  <c r="C827" i="2"/>
  <c r="C761" i="2"/>
  <c r="C1082" i="2"/>
  <c r="C974" i="2"/>
  <c r="C1206" i="2"/>
  <c r="C1189" i="2"/>
  <c r="C1125" i="2"/>
  <c r="C1061" i="2"/>
  <c r="C1484" i="2"/>
  <c r="C1243" i="2"/>
  <c r="C1481" i="2"/>
  <c r="C1417" i="2"/>
  <c r="C1289" i="2"/>
  <c r="C1161" i="2"/>
  <c r="C1097" i="2"/>
  <c r="C1033" i="2"/>
  <c r="C969" i="2"/>
  <c r="C905" i="2"/>
  <c r="C841" i="2"/>
  <c r="C1456" i="2"/>
  <c r="C1200" i="2"/>
  <c r="C1136" i="2"/>
  <c r="C1072" i="2"/>
  <c r="C1167" i="2"/>
  <c r="C1103" i="2"/>
  <c r="C1039" i="2"/>
  <c r="C975" i="2"/>
  <c r="C911" i="2"/>
  <c r="C847" i="2"/>
  <c r="C1155" i="2"/>
  <c r="C1027" i="2"/>
  <c r="C939" i="2"/>
  <c r="C853" i="2"/>
  <c r="C781" i="2"/>
  <c r="C1106" i="2"/>
  <c r="C990" i="2"/>
  <c r="C906" i="2"/>
  <c r="C820" i="2"/>
  <c r="C756" i="2"/>
  <c r="C1118" i="2"/>
  <c r="C1000" i="2"/>
  <c r="C915" i="2"/>
  <c r="C829" i="2"/>
  <c r="C763" i="2"/>
  <c r="C1132" i="2"/>
  <c r="C1010" i="2"/>
  <c r="C924" i="2"/>
  <c r="C838" i="2"/>
  <c r="C770" i="2"/>
  <c r="C1099" i="2"/>
  <c r="C987" i="2"/>
  <c r="C901" i="2"/>
  <c r="C817" i="2"/>
  <c r="C753" i="2"/>
  <c r="C1194" i="2"/>
  <c r="C1066" i="2"/>
  <c r="C964" i="2"/>
  <c r="C878" i="2"/>
  <c r="C800" i="2"/>
  <c r="C1126" i="2"/>
  <c r="C1309" i="2"/>
  <c r="C1284" i="2"/>
  <c r="C1330" i="2"/>
  <c r="C1089" i="2"/>
  <c r="C833" i="2"/>
  <c r="C1360" i="2"/>
  <c r="C1176" i="2"/>
  <c r="C1479" i="2"/>
  <c r="C1327" i="2"/>
  <c r="C1143" i="2"/>
  <c r="C967" i="2"/>
  <c r="C1228" i="2"/>
  <c r="C907" i="2"/>
  <c r="C1058" i="2"/>
  <c r="C812" i="2"/>
  <c r="C1086" i="2"/>
  <c r="C936" i="2"/>
  <c r="C803" i="2"/>
  <c r="C1116" i="2"/>
  <c r="C966" i="2"/>
  <c r="C818" i="2"/>
  <c r="C1131" i="2"/>
  <c r="C955" i="2"/>
  <c r="C809" i="2"/>
  <c r="C1050" i="2"/>
  <c r="C922" i="2"/>
  <c r="C808" i="2"/>
  <c r="C1078" i="2"/>
  <c r="C963" i="2"/>
  <c r="C877" i="2"/>
  <c r="C799" i="2"/>
  <c r="C886" i="2"/>
  <c r="C950" i="2"/>
  <c r="C1140" i="2"/>
  <c r="C1004" i="2"/>
  <c r="C1172" i="2"/>
  <c r="C1454" i="2"/>
  <c r="C1245" i="2"/>
  <c r="C1491" i="2"/>
  <c r="C1266" i="2"/>
  <c r="C1025" i="2"/>
  <c r="C1496" i="2"/>
  <c r="C1320" i="2"/>
  <c r="C1168" i="2"/>
  <c r="C1463" i="2"/>
  <c r="C1287" i="2"/>
  <c r="C1135" i="2"/>
  <c r="C951" i="2"/>
  <c r="C1139" i="2"/>
  <c r="C896" i="2"/>
  <c r="C1042" i="2"/>
  <c r="C796" i="2"/>
  <c r="C1070" i="2"/>
  <c r="C904" i="2"/>
  <c r="C795" i="2"/>
  <c r="C1100" i="2"/>
  <c r="C946" i="2"/>
  <c r="C810" i="2"/>
  <c r="C1083" i="2"/>
  <c r="C944" i="2"/>
  <c r="C801" i="2"/>
  <c r="C1034" i="2"/>
  <c r="C900" i="2"/>
  <c r="C792" i="2"/>
  <c r="C1062" i="2"/>
  <c r="C952" i="2"/>
  <c r="C867" i="2"/>
  <c r="C791" i="2"/>
  <c r="C806" i="2"/>
  <c r="C1188" i="2"/>
  <c r="C866" i="2"/>
  <c r="C1014" i="2"/>
  <c r="C918" i="2"/>
  <c r="C1092" i="2"/>
  <c r="C844" i="2"/>
  <c r="C766" i="2"/>
  <c r="C1390" i="2"/>
  <c r="C1181" i="2"/>
  <c r="C1427" i="2"/>
  <c r="C1473" i="2"/>
  <c r="C961" i="2"/>
  <c r="C1488" i="2"/>
  <c r="C1304" i="2"/>
  <c r="C1128" i="2"/>
  <c r="C1455" i="2"/>
  <c r="C1271" i="2"/>
  <c r="C1095" i="2"/>
  <c r="C943" i="2"/>
  <c r="C1107" i="2"/>
  <c r="C843" i="2"/>
  <c r="C980" i="2"/>
  <c r="C788" i="2"/>
  <c r="C1054" i="2"/>
  <c r="C893" i="2"/>
  <c r="C779" i="2"/>
  <c r="C1084" i="2"/>
  <c r="C914" i="2"/>
  <c r="C802" i="2"/>
  <c r="C1067" i="2"/>
  <c r="C923" i="2"/>
  <c r="C793" i="2"/>
  <c r="C1018" i="2"/>
  <c r="C890" i="2"/>
  <c r="C784" i="2"/>
  <c r="C1210" i="2"/>
  <c r="C1030" i="2"/>
  <c r="C941" i="2"/>
  <c r="C856" i="2"/>
  <c r="C783" i="2"/>
  <c r="C1060" i="2"/>
  <c r="C790" i="2"/>
  <c r="C930" i="2"/>
  <c r="C834" i="2"/>
  <c r="C1108" i="2"/>
  <c r="C1326" i="2"/>
  <c r="C1117" i="2"/>
  <c r="C1363" i="2"/>
  <c r="C1409" i="2"/>
  <c r="C945" i="2"/>
  <c r="C1448" i="2"/>
  <c r="C1296" i="2"/>
  <c r="C1112" i="2"/>
  <c r="C1415" i="2"/>
  <c r="C1263" i="2"/>
  <c r="C1079" i="2"/>
  <c r="C903" i="2"/>
  <c r="C1091" i="2"/>
  <c r="C821" i="2"/>
  <c r="C958" i="2"/>
  <c r="C1022" i="2"/>
  <c r="C883" i="2"/>
  <c r="C755" i="2"/>
  <c r="C1068" i="2"/>
  <c r="C902" i="2"/>
  <c r="C786" i="2"/>
  <c r="C1051" i="2"/>
  <c r="C891" i="2"/>
  <c r="C785" i="2"/>
  <c r="C1178" i="2"/>
  <c r="C1006" i="2"/>
  <c r="C868" i="2"/>
  <c r="C776" i="2"/>
  <c r="C1190" i="2"/>
  <c r="C1016" i="2"/>
  <c r="C931" i="2"/>
  <c r="C845" i="2"/>
  <c r="C775" i="2"/>
  <c r="C962" i="2"/>
  <c r="C1156" i="2"/>
  <c r="C1262" i="2"/>
  <c r="C1053" i="2"/>
  <c r="C1299" i="2"/>
  <c r="C1345" i="2"/>
  <c r="C937" i="2"/>
  <c r="C1432" i="2"/>
  <c r="C1256" i="2"/>
  <c r="C1104" i="2"/>
  <c r="C1399" i="2"/>
  <c r="C1223" i="2"/>
  <c r="C1071" i="2"/>
  <c r="C887" i="2"/>
  <c r="C1013" i="2"/>
  <c r="C813" i="2"/>
  <c r="C1226" i="2"/>
  <c r="C948" i="2"/>
  <c r="C1198" i="2"/>
  <c r="C989" i="2"/>
  <c r="C872" i="2"/>
  <c r="C1036" i="2"/>
  <c r="C892" i="2"/>
  <c r="C762" i="2"/>
  <c r="C1212" i="2"/>
  <c r="C1035" i="2"/>
  <c r="C880" i="2"/>
  <c r="C769" i="2"/>
  <c r="C1162" i="2"/>
  <c r="C986" i="2"/>
  <c r="C858" i="2"/>
  <c r="C768" i="2"/>
  <c r="C1158" i="2"/>
  <c r="C1005" i="2"/>
  <c r="C920" i="2"/>
  <c r="C835" i="2"/>
  <c r="C767" i="2"/>
  <c r="C876" i="2"/>
  <c r="C1028" i="2"/>
  <c r="C774" i="2"/>
  <c r="C994" i="2"/>
  <c r="C908" i="2"/>
  <c r="C982" i="2"/>
  <c r="C854" i="2"/>
  <c r="C822" i="2"/>
  <c r="C1501" i="2"/>
  <c r="C1476" i="2"/>
  <c r="C1235" i="2"/>
  <c r="C1281" i="2"/>
  <c r="C897" i="2"/>
  <c r="C1424" i="2"/>
  <c r="C1240" i="2"/>
  <c r="C1064" i="2"/>
  <c r="C1391" i="2"/>
  <c r="C1207" i="2"/>
  <c r="C1031" i="2"/>
  <c r="C879" i="2"/>
  <c r="C992" i="2"/>
  <c r="C773" i="2"/>
  <c r="C1186" i="2"/>
  <c r="C894" i="2"/>
  <c r="C1182" i="2"/>
  <c r="C979" i="2"/>
  <c r="C851" i="2"/>
  <c r="C1218" i="2"/>
  <c r="C998" i="2"/>
  <c r="C882" i="2"/>
  <c r="C754" i="2"/>
  <c r="C1195" i="2"/>
  <c r="C1008" i="2"/>
  <c r="C869" i="2"/>
  <c r="C1146" i="2"/>
  <c r="C954" i="2"/>
  <c r="C846" i="2"/>
  <c r="C752" i="2"/>
  <c r="B753" i="2" s="1"/>
  <c r="C1142" i="2"/>
  <c r="C995" i="2"/>
  <c r="C909" i="2"/>
  <c r="C824" i="2"/>
  <c r="C759" i="2"/>
  <c r="C1204" i="2"/>
  <c r="C798" i="2"/>
  <c r="C940" i="2"/>
  <c r="C1076" i="2"/>
  <c r="C898" i="2"/>
  <c r="C1437" i="2"/>
  <c r="C1412" i="2"/>
  <c r="C1458" i="2"/>
  <c r="C1217" i="2"/>
  <c r="C881" i="2"/>
  <c r="C1384" i="2"/>
  <c r="C1232" i="2"/>
  <c r="C1048" i="2"/>
  <c r="C1351" i="2"/>
  <c r="C1199" i="2"/>
  <c r="C1015" i="2"/>
  <c r="C839" i="2"/>
  <c r="C981" i="2"/>
  <c r="C757" i="2"/>
  <c r="C1170" i="2"/>
  <c r="C874" i="2"/>
  <c r="C1150" i="2"/>
  <c r="C968" i="2"/>
  <c r="C819" i="2"/>
  <c r="C1196" i="2"/>
  <c r="C988" i="2"/>
  <c r="C860" i="2"/>
  <c r="C1179" i="2"/>
  <c r="C976" i="2"/>
  <c r="C859" i="2"/>
  <c r="C1130" i="2"/>
  <c r="C942" i="2"/>
  <c r="C836" i="2"/>
  <c r="C1110" i="2"/>
  <c r="C984" i="2"/>
  <c r="C899" i="2"/>
  <c r="C815" i="2"/>
  <c r="C1373" i="2"/>
  <c r="C1348" i="2"/>
  <c r="C1394" i="2"/>
  <c r="C1153" i="2"/>
  <c r="C873" i="2"/>
  <c r="C1368" i="2"/>
  <c r="C1192" i="2"/>
  <c r="C1040" i="2"/>
  <c r="C1335" i="2"/>
  <c r="C1159" i="2"/>
  <c r="C1007" i="2"/>
  <c r="C823" i="2"/>
  <c r="C928" i="2"/>
  <c r="C1090" i="2"/>
  <c r="C862" i="2"/>
  <c r="C1102" i="2"/>
  <c r="C957" i="2"/>
  <c r="C811" i="2"/>
  <c r="C1164" i="2"/>
  <c r="C978" i="2"/>
  <c r="C828" i="2"/>
  <c r="C1163" i="2"/>
  <c r="C965" i="2"/>
  <c r="C837" i="2"/>
  <c r="C1098" i="2"/>
  <c r="C932" i="2"/>
  <c r="C816" i="2"/>
  <c r="C1094" i="2"/>
  <c r="C973" i="2"/>
  <c r="C888" i="2"/>
  <c r="C807" i="2"/>
  <c r="C972" i="2"/>
  <c r="C1044" i="2"/>
  <c r="C782" i="2"/>
  <c r="C1124" i="2"/>
  <c r="C758" i="2"/>
  <c r="C814" i="2"/>
  <c r="E37" i="1"/>
  <c r="B754" i="2" l="1"/>
  <c r="C1340" i="2"/>
  <c r="C1334" i="2"/>
  <c r="C1336" i="2"/>
  <c r="C1297" i="2"/>
  <c r="C1500" i="2"/>
  <c r="C1385" i="2"/>
  <c r="C1413" i="2"/>
  <c r="C1314" i="2"/>
  <c r="B755" i="2"/>
  <c r="C1371" i="2"/>
  <c r="C1398" i="2"/>
  <c r="C1464" i="2"/>
  <c r="C1361" i="2"/>
  <c r="C1358" i="2"/>
  <c r="C1434" i="2"/>
  <c r="C1442" i="2"/>
  <c r="C1293" i="2"/>
  <c r="C1423" i="2"/>
  <c r="C1435" i="2"/>
  <c r="C1410" i="2"/>
  <c r="C1389" i="2"/>
  <c r="C1344" i="2"/>
  <c r="C1305" i="2"/>
  <c r="C1395" i="2"/>
  <c r="C1422" i="2"/>
  <c r="C1302" i="2"/>
  <c r="C1421" i="2"/>
  <c r="C1465" i="2"/>
  <c r="C1485" i="2"/>
  <c r="C1312" i="2"/>
  <c r="C1322" i="2"/>
  <c r="C1301" i="2"/>
  <c r="C1431" i="2"/>
  <c r="C1315" i="2"/>
  <c r="C1278" i="2"/>
  <c r="C1418" i="2"/>
  <c r="C1388" i="2"/>
  <c r="C1396" i="2"/>
  <c r="C1502" i="2"/>
  <c r="C1386" i="2"/>
  <c r="C1365" i="2"/>
  <c r="C1274" i="2"/>
  <c r="C1499" i="2"/>
  <c r="C1253" i="2"/>
  <c r="C1462" i="2"/>
  <c r="C1425" i="2"/>
  <c r="C1379" i="2"/>
  <c r="C1342" i="2"/>
  <c r="C1433" i="2"/>
  <c r="C1387" i="2"/>
  <c r="C1350" i="2"/>
  <c r="C1224" i="2"/>
  <c r="C1298" i="2"/>
  <c r="C1252" i="2"/>
  <c r="C1277" i="2"/>
  <c r="C1486" i="2"/>
  <c r="C1449" i="2"/>
  <c r="C1403" i="2"/>
  <c r="C1366" i="2"/>
  <c r="C1329" i="2"/>
  <c r="C1283" i="2"/>
  <c r="C1246" i="2"/>
  <c r="C1343" i="2"/>
  <c r="C1376" i="2"/>
  <c r="C1209" i="2"/>
  <c r="C1450" i="2"/>
  <c r="C1404" i="2"/>
  <c r="C1429" i="2"/>
  <c r="C1231" i="2"/>
  <c r="C1264" i="2"/>
  <c r="C1338" i="2"/>
  <c r="C1292" i="2"/>
  <c r="C1317" i="2"/>
  <c r="C1489" i="2"/>
  <c r="C1443" i="2"/>
  <c r="C1406" i="2"/>
  <c r="C1497" i="2"/>
  <c r="C1451" i="2"/>
  <c r="C1205" i="2"/>
  <c r="C1414" i="2"/>
  <c r="C1255" i="2"/>
  <c r="C1288" i="2"/>
  <c r="C1362" i="2"/>
  <c r="C1316" i="2"/>
  <c r="C1341" i="2"/>
  <c r="C1242" i="2"/>
  <c r="C1467" i="2"/>
  <c r="C1221" i="2"/>
  <c r="C1430" i="2"/>
  <c r="C1393" i="2"/>
  <c r="C1347" i="2"/>
  <c r="C1310" i="2"/>
  <c r="C1407" i="2"/>
  <c r="C1440" i="2"/>
  <c r="C1273" i="2"/>
  <c r="C1227" i="2"/>
  <c r="C1468" i="2"/>
  <c r="C1493" i="2"/>
  <c r="C1295" i="2"/>
  <c r="C1328" i="2"/>
  <c r="C1402" i="2"/>
  <c r="C1356" i="2"/>
  <c r="C1381" i="2"/>
  <c r="C1208" i="2"/>
  <c r="C1282" i="2"/>
  <c r="C1236" i="2"/>
  <c r="C1261" i="2"/>
  <c r="C1470" i="2"/>
  <c r="C1216" i="2"/>
  <c r="C1290" i="2"/>
  <c r="C1244" i="2"/>
  <c r="C1269" i="2"/>
  <c r="C1478" i="2"/>
  <c r="C1203" i="2"/>
  <c r="C1319" i="2"/>
  <c r="C1352" i="2"/>
  <c r="C1426" i="2"/>
  <c r="C1380" i="2"/>
  <c r="C1405" i="2"/>
  <c r="C1306" i="2"/>
  <c r="C1260" i="2"/>
  <c r="C1285" i="2"/>
  <c r="C1494" i="2"/>
  <c r="C1457" i="2"/>
  <c r="C1411" i="2"/>
  <c r="C1374" i="2"/>
  <c r="C1471" i="2"/>
  <c r="C1337" i="2"/>
  <c r="C1291" i="2"/>
  <c r="C1254" i="2"/>
  <c r="C1359" i="2"/>
  <c r="C1392" i="2"/>
  <c r="C1225" i="2"/>
  <c r="C1466" i="2"/>
  <c r="C1420" i="2"/>
  <c r="C1445" i="2"/>
  <c r="C1211" i="2"/>
  <c r="C1239" i="2"/>
  <c r="C1272" i="2"/>
  <c r="C1346" i="2"/>
  <c r="C1300" i="2"/>
  <c r="C1325" i="2"/>
  <c r="C1247" i="2"/>
  <c r="C1280" i="2"/>
  <c r="C1354" i="2"/>
  <c r="C1308" i="2"/>
  <c r="C1333" i="2"/>
  <c r="C1383" i="2"/>
  <c r="C1416" i="2"/>
  <c r="C1249" i="2"/>
  <c r="C1490" i="2"/>
  <c r="C1444" i="2"/>
  <c r="C1469" i="2"/>
  <c r="C1370" i="2"/>
  <c r="C1324" i="2"/>
  <c r="C1349" i="2"/>
  <c r="C1250" i="2"/>
  <c r="C1475" i="2"/>
  <c r="C1229" i="2"/>
  <c r="C1438" i="2"/>
  <c r="C1401" i="2"/>
  <c r="C1355" i="2"/>
  <c r="C1318" i="2"/>
  <c r="C1382" i="2"/>
  <c r="C1487" i="2"/>
  <c r="C1353" i="2"/>
  <c r="C1307" i="2"/>
  <c r="C1270" i="2"/>
  <c r="C1367" i="2"/>
  <c r="C1400" i="2"/>
  <c r="C1233" i="2"/>
  <c r="C1474" i="2"/>
  <c r="C1428" i="2"/>
  <c r="C1453" i="2"/>
  <c r="C1375" i="2"/>
  <c r="C1408" i="2"/>
  <c r="C1241" i="2"/>
  <c r="C1482" i="2"/>
  <c r="C1436" i="2"/>
  <c r="C1461" i="2"/>
  <c r="C1377" i="2"/>
  <c r="C1331" i="2"/>
  <c r="C1294" i="2"/>
  <c r="C1257" i="2"/>
  <c r="C1498" i="2"/>
  <c r="C1452" i="2"/>
  <c r="C1477" i="2"/>
  <c r="C1378" i="2"/>
  <c r="C1332" i="2"/>
  <c r="C1357" i="2"/>
  <c r="C1220" i="2"/>
  <c r="C1258" i="2"/>
  <c r="C1483" i="2"/>
  <c r="C1237" i="2"/>
  <c r="C1446" i="2"/>
  <c r="B756" i="2"/>
  <c r="B757" i="2" s="1"/>
  <c r="B758" i="2" s="1"/>
  <c r="B759" i="2" s="1"/>
  <c r="B760" i="2" s="1"/>
  <c r="B761" i="2" s="1"/>
  <c r="B762" i="2" s="1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B808" i="2" s="1"/>
  <c r="B809" i="2" s="1"/>
  <c r="B810" i="2" s="1"/>
  <c r="B811" i="2" s="1"/>
  <c r="B812" i="2" s="1"/>
  <c r="B813" i="2" s="1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858" i="2" s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B898" i="2" s="1"/>
  <c r="B899" i="2" s="1"/>
  <c r="B900" i="2" s="1"/>
  <c r="B901" i="2" s="1"/>
  <c r="B902" i="2" s="1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B916" i="2" s="1"/>
  <c r="B917" i="2" s="1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928" i="2" s="1"/>
  <c r="B929" i="2" s="1"/>
  <c r="B930" i="2" s="1"/>
  <c r="B931" i="2" s="1"/>
  <c r="B932" i="2" s="1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947" i="2" s="1"/>
  <c r="B948" i="2" s="1"/>
  <c r="B949" i="2" s="1"/>
  <c r="B950" i="2" s="1"/>
  <c r="B951" i="2" s="1"/>
  <c r="B952" i="2" s="1"/>
  <c r="B953" i="2" s="1"/>
  <c r="B954" i="2" s="1"/>
  <c r="B955" i="2" s="1"/>
  <c r="B956" i="2" s="1"/>
  <c r="B957" i="2" s="1"/>
  <c r="B958" i="2" s="1"/>
  <c r="B959" i="2" s="1"/>
  <c r="B960" i="2" s="1"/>
  <c r="B961" i="2" s="1"/>
  <c r="B962" i="2" s="1"/>
  <c r="B963" i="2" s="1"/>
  <c r="B964" i="2" s="1"/>
  <c r="B965" i="2" s="1"/>
  <c r="B966" i="2" s="1"/>
  <c r="B967" i="2" s="1"/>
  <c r="B968" i="2" s="1"/>
  <c r="B969" i="2" s="1"/>
  <c r="B970" i="2" s="1"/>
  <c r="B971" i="2" s="1"/>
  <c r="B972" i="2" s="1"/>
  <c r="B973" i="2" s="1"/>
  <c r="B974" i="2" s="1"/>
  <c r="B975" i="2" s="1"/>
  <c r="B976" i="2" s="1"/>
  <c r="B977" i="2" s="1"/>
  <c r="B978" i="2" s="1"/>
  <c r="B979" i="2" s="1"/>
  <c r="B980" i="2" s="1"/>
  <c r="B981" i="2" s="1"/>
  <c r="B982" i="2" s="1"/>
  <c r="B983" i="2" s="1"/>
  <c r="B984" i="2" s="1"/>
  <c r="B985" i="2" s="1"/>
  <c r="B986" i="2" s="1"/>
  <c r="B987" i="2" s="1"/>
  <c r="B988" i="2" s="1"/>
  <c r="B989" i="2" s="1"/>
  <c r="B990" i="2" s="1"/>
  <c r="B991" i="2" s="1"/>
  <c r="B992" i="2" s="1"/>
  <c r="B993" i="2" s="1"/>
  <c r="B994" i="2" s="1"/>
  <c r="B995" i="2" s="1"/>
  <c r="B996" i="2" s="1"/>
  <c r="B997" i="2" s="1"/>
  <c r="B998" i="2" s="1"/>
  <c r="B999" i="2" s="1"/>
  <c r="B1000" i="2" s="1"/>
  <c r="B1001" i="2" s="1"/>
  <c r="B1002" i="2" s="1"/>
  <c r="B1003" i="2" s="1"/>
  <c r="B1004" i="2" s="1"/>
  <c r="B1005" i="2" s="1"/>
  <c r="B1006" i="2" s="1"/>
  <c r="B1007" i="2" s="1"/>
  <c r="B1008" i="2" s="1"/>
  <c r="B1009" i="2" s="1"/>
  <c r="B1010" i="2" s="1"/>
  <c r="B1011" i="2" s="1"/>
  <c r="B1012" i="2" s="1"/>
  <c r="B1013" i="2" s="1"/>
  <c r="B1014" i="2" s="1"/>
  <c r="B1015" i="2" s="1"/>
  <c r="B1016" i="2" s="1"/>
  <c r="B1017" i="2" s="1"/>
  <c r="B1018" i="2" s="1"/>
  <c r="B1019" i="2" s="1"/>
  <c r="B1020" i="2" s="1"/>
  <c r="B1021" i="2" s="1"/>
  <c r="B1022" i="2" s="1"/>
  <c r="B1023" i="2" s="1"/>
  <c r="B1024" i="2" s="1"/>
  <c r="B1025" i="2" s="1"/>
  <c r="B1026" i="2" s="1"/>
  <c r="B1027" i="2" s="1"/>
  <c r="B1028" i="2" s="1"/>
  <c r="B1029" i="2" s="1"/>
  <c r="B1030" i="2" s="1"/>
  <c r="B1031" i="2" s="1"/>
  <c r="B1032" i="2" s="1"/>
  <c r="B1033" i="2" s="1"/>
  <c r="B1034" i="2" s="1"/>
  <c r="B1035" i="2" s="1"/>
  <c r="B1036" i="2" s="1"/>
  <c r="B1037" i="2" s="1"/>
  <c r="B1038" i="2" s="1"/>
  <c r="B1039" i="2" s="1"/>
  <c r="B1040" i="2" s="1"/>
  <c r="B1041" i="2" s="1"/>
  <c r="B1042" i="2" s="1"/>
  <c r="B1043" i="2" s="1"/>
  <c r="B1044" i="2" s="1"/>
  <c r="B1045" i="2" s="1"/>
  <c r="B1046" i="2" s="1"/>
  <c r="B1047" i="2" s="1"/>
  <c r="B1048" i="2" s="1"/>
  <c r="B1049" i="2" s="1"/>
  <c r="B1050" i="2" s="1"/>
  <c r="B1051" i="2" s="1"/>
  <c r="B1052" i="2" s="1"/>
  <c r="B1053" i="2" s="1"/>
  <c r="B1054" i="2" s="1"/>
  <c r="B1055" i="2" s="1"/>
  <c r="B1056" i="2" s="1"/>
  <c r="B1057" i="2" s="1"/>
  <c r="B1058" i="2" s="1"/>
  <c r="B1059" i="2" s="1"/>
  <c r="B1060" i="2" s="1"/>
  <c r="B1061" i="2" s="1"/>
  <c r="B1062" i="2" s="1"/>
  <c r="B1063" i="2" s="1"/>
  <c r="B1064" i="2" s="1"/>
  <c r="B1065" i="2" s="1"/>
  <c r="B1066" i="2" s="1"/>
  <c r="B1067" i="2" s="1"/>
  <c r="B1068" i="2" s="1"/>
  <c r="B1069" i="2" s="1"/>
  <c r="B1070" i="2" s="1"/>
  <c r="B1071" i="2" s="1"/>
  <c r="B1072" i="2" s="1"/>
  <c r="B1073" i="2" s="1"/>
  <c r="B1074" i="2" s="1"/>
  <c r="B1075" i="2" s="1"/>
  <c r="B1076" i="2" s="1"/>
  <c r="B1077" i="2" s="1"/>
  <c r="B1078" i="2" s="1"/>
  <c r="B1079" i="2" s="1"/>
  <c r="B1080" i="2" s="1"/>
  <c r="B1081" i="2" s="1"/>
  <c r="B1082" i="2" s="1"/>
  <c r="B1083" i="2" s="1"/>
  <c r="B1084" i="2" s="1"/>
  <c r="B1085" i="2" s="1"/>
  <c r="B1086" i="2" s="1"/>
  <c r="B1087" i="2" s="1"/>
  <c r="B1088" i="2" s="1"/>
  <c r="B1089" i="2" s="1"/>
  <c r="B1090" i="2" s="1"/>
  <c r="B1091" i="2" s="1"/>
  <c r="B1092" i="2" s="1"/>
  <c r="B1093" i="2" s="1"/>
  <c r="B1094" i="2" s="1"/>
  <c r="B1095" i="2" s="1"/>
  <c r="B1096" i="2" s="1"/>
  <c r="B1097" i="2" s="1"/>
  <c r="B1098" i="2" s="1"/>
  <c r="B1099" i="2" s="1"/>
  <c r="B1100" i="2" s="1"/>
  <c r="B1101" i="2" s="1"/>
  <c r="B1102" i="2" s="1"/>
  <c r="B1103" i="2" s="1"/>
  <c r="B1104" i="2" s="1"/>
  <c r="B1105" i="2" s="1"/>
  <c r="B1106" i="2" s="1"/>
  <c r="B1107" i="2" s="1"/>
  <c r="B1108" i="2" s="1"/>
  <c r="B1109" i="2" s="1"/>
  <c r="B1110" i="2" s="1"/>
  <c r="B1111" i="2" s="1"/>
  <c r="B1112" i="2" s="1"/>
  <c r="B1113" i="2" s="1"/>
  <c r="B1114" i="2" s="1"/>
  <c r="B1115" i="2" s="1"/>
  <c r="B1116" i="2" s="1"/>
  <c r="B1117" i="2" s="1"/>
  <c r="B1118" i="2" s="1"/>
  <c r="B1119" i="2" s="1"/>
  <c r="B1120" i="2" s="1"/>
  <c r="B1121" i="2" s="1"/>
  <c r="B1122" i="2" s="1"/>
  <c r="B1123" i="2" s="1"/>
  <c r="B1124" i="2" s="1"/>
  <c r="B1125" i="2" s="1"/>
  <c r="B1126" i="2" s="1"/>
  <c r="B1127" i="2" s="1"/>
  <c r="B1128" i="2" s="1"/>
  <c r="B1129" i="2" s="1"/>
  <c r="B1130" i="2" s="1"/>
  <c r="B1131" i="2" s="1"/>
  <c r="B1132" i="2" s="1"/>
  <c r="B1133" i="2" s="1"/>
  <c r="B1134" i="2" s="1"/>
  <c r="B1135" i="2" s="1"/>
  <c r="B1136" i="2" s="1"/>
  <c r="B1137" i="2" s="1"/>
  <c r="B1138" i="2" s="1"/>
  <c r="B1139" i="2" s="1"/>
  <c r="B1140" i="2" s="1"/>
  <c r="B1141" i="2" s="1"/>
  <c r="B1142" i="2" s="1"/>
  <c r="B1143" i="2" s="1"/>
  <c r="B1144" i="2" s="1"/>
  <c r="B1145" i="2" s="1"/>
  <c r="B1146" i="2" s="1"/>
  <c r="B1147" i="2" s="1"/>
  <c r="B1148" i="2" s="1"/>
  <c r="B1149" i="2" s="1"/>
  <c r="B1150" i="2" s="1"/>
  <c r="B1151" i="2" s="1"/>
  <c r="B1152" i="2" s="1"/>
  <c r="B1153" i="2" s="1"/>
  <c r="B1154" i="2" s="1"/>
  <c r="B1155" i="2" s="1"/>
  <c r="B1156" i="2" s="1"/>
  <c r="B1157" i="2" s="1"/>
  <c r="B1158" i="2" s="1"/>
  <c r="B1159" i="2" s="1"/>
  <c r="B1160" i="2" s="1"/>
  <c r="B1161" i="2" s="1"/>
  <c r="B1162" i="2" s="1"/>
  <c r="B1163" i="2" s="1"/>
  <c r="B1164" i="2" s="1"/>
  <c r="B1165" i="2" s="1"/>
  <c r="B1166" i="2" s="1"/>
  <c r="B1167" i="2" s="1"/>
  <c r="B1168" i="2" s="1"/>
  <c r="B1169" i="2" s="1"/>
  <c r="B1170" i="2" s="1"/>
  <c r="B1171" i="2" s="1"/>
  <c r="B1172" i="2" s="1"/>
  <c r="B1173" i="2" s="1"/>
  <c r="B1174" i="2" s="1"/>
  <c r="B1175" i="2" s="1"/>
  <c r="B1176" i="2" s="1"/>
  <c r="B1177" i="2" s="1"/>
  <c r="B1178" i="2" s="1"/>
  <c r="B1179" i="2" s="1"/>
  <c r="B1180" i="2" s="1"/>
  <c r="B1181" i="2" s="1"/>
  <c r="B1182" i="2" s="1"/>
  <c r="B1183" i="2" s="1"/>
  <c r="B1184" i="2" s="1"/>
  <c r="B1185" i="2" s="1"/>
  <c r="B1186" i="2" s="1"/>
  <c r="B1187" i="2" s="1"/>
  <c r="B1188" i="2" s="1"/>
  <c r="B1189" i="2" s="1"/>
  <c r="B1190" i="2" s="1"/>
  <c r="B1191" i="2" s="1"/>
  <c r="B1192" i="2" s="1"/>
  <c r="B1193" i="2" s="1"/>
  <c r="B1194" i="2" s="1"/>
  <c r="B1195" i="2" s="1"/>
  <c r="B1196" i="2" s="1"/>
  <c r="B1197" i="2" s="1"/>
  <c r="B1198" i="2" s="1"/>
  <c r="B1199" i="2" s="1"/>
  <c r="B1200" i="2" s="1"/>
  <c r="B1201" i="2" s="1"/>
  <c r="B1202" i="2" s="1"/>
  <c r="B1203" i="2" s="1"/>
  <c r="B1204" i="2" s="1"/>
  <c r="B1205" i="2" s="1"/>
  <c r="B1206" i="2" s="1"/>
  <c r="B1207" i="2" s="1"/>
  <c r="B1208" i="2" s="1"/>
  <c r="B1209" i="2" s="1"/>
  <c r="B1210" i="2" s="1"/>
  <c r="B1211" i="2" s="1"/>
  <c r="B1212" i="2" s="1"/>
  <c r="B1213" i="2" s="1"/>
  <c r="B1214" i="2" s="1"/>
  <c r="B1215" i="2" s="1"/>
  <c r="B1216" i="2" s="1"/>
  <c r="B1217" i="2" s="1"/>
  <c r="B1218" i="2" s="1"/>
  <c r="B1219" i="2" s="1"/>
  <c r="B1220" i="2" s="1"/>
  <c r="B1221" i="2" s="1"/>
  <c r="B1222" i="2" s="1"/>
  <c r="B1223" i="2" s="1"/>
  <c r="B1224" i="2" s="1"/>
  <c r="B1225" i="2" s="1"/>
  <c r="B1226" i="2" s="1"/>
  <c r="B1227" i="2" s="1"/>
  <c r="B1228" i="2" s="1"/>
  <c r="B1229" i="2" s="1"/>
  <c r="B1230" i="2" s="1"/>
  <c r="B1231" i="2" s="1"/>
  <c r="B1232" i="2" s="1"/>
  <c r="B1233" i="2" s="1"/>
  <c r="B1234" i="2" s="1"/>
  <c r="B1235" i="2" s="1"/>
  <c r="B1236" i="2" s="1"/>
  <c r="B1237" i="2" s="1"/>
  <c r="B1238" i="2" s="1"/>
  <c r="B1239" i="2" s="1"/>
  <c r="B1240" i="2" s="1"/>
  <c r="B1241" i="2" s="1"/>
  <c r="B1242" i="2" s="1"/>
  <c r="B1243" i="2" s="1"/>
  <c r="B1244" i="2" s="1"/>
  <c r="B1245" i="2" s="1"/>
  <c r="B1246" i="2" s="1"/>
  <c r="B1247" i="2" s="1"/>
  <c r="B1248" i="2" s="1"/>
  <c r="B1249" i="2" s="1"/>
  <c r="B1250" i="2" s="1"/>
  <c r="B1251" i="2" s="1"/>
  <c r="B1252" i="2" s="1"/>
  <c r="B1253" i="2" s="1"/>
  <c r="B1254" i="2" s="1"/>
  <c r="B1255" i="2" s="1"/>
  <c r="B1256" i="2" s="1"/>
  <c r="B1257" i="2" s="1"/>
  <c r="B1258" i="2" s="1"/>
  <c r="B1259" i="2" s="1"/>
  <c r="B1260" i="2" s="1"/>
  <c r="B1261" i="2" s="1"/>
  <c r="B1262" i="2" s="1"/>
  <c r="B1263" i="2" s="1"/>
  <c r="B1264" i="2" s="1"/>
  <c r="B1265" i="2" s="1"/>
  <c r="B1266" i="2" s="1"/>
  <c r="B1267" i="2" s="1"/>
  <c r="B1268" i="2" s="1"/>
  <c r="B1269" i="2" s="1"/>
  <c r="B1270" i="2" s="1"/>
  <c r="B1271" i="2" s="1"/>
  <c r="B1272" i="2" s="1"/>
  <c r="B1273" i="2" s="1"/>
  <c r="B1274" i="2" s="1"/>
  <c r="B1275" i="2" s="1"/>
  <c r="B1276" i="2" s="1"/>
  <c r="B1277" i="2" s="1"/>
  <c r="B1278" i="2" s="1"/>
  <c r="B1279" i="2" s="1"/>
  <c r="B1280" i="2" s="1"/>
  <c r="B1281" i="2" s="1"/>
  <c r="B1282" i="2" s="1"/>
  <c r="B1283" i="2" s="1"/>
  <c r="B1284" i="2" s="1"/>
  <c r="B1285" i="2" s="1"/>
  <c r="B1286" i="2" s="1"/>
  <c r="B1287" i="2" s="1"/>
  <c r="B1288" i="2" s="1"/>
  <c r="B1289" i="2" s="1"/>
  <c r="B1290" i="2" s="1"/>
  <c r="B1291" i="2" s="1"/>
  <c r="B1292" i="2" s="1"/>
  <c r="B1293" i="2" s="1"/>
  <c r="B1294" i="2" s="1"/>
  <c r="B1295" i="2" s="1"/>
  <c r="B1296" i="2" s="1"/>
  <c r="B1297" i="2" s="1"/>
  <c r="B1298" i="2" s="1"/>
  <c r="B1299" i="2" s="1"/>
  <c r="B1300" i="2" s="1"/>
  <c r="B1301" i="2" s="1"/>
  <c r="B1302" i="2" s="1"/>
  <c r="B1303" i="2" s="1"/>
  <c r="B1304" i="2" s="1"/>
  <c r="B1305" i="2" s="1"/>
  <c r="B1306" i="2" s="1"/>
  <c r="B1307" i="2" s="1"/>
  <c r="B1308" i="2" s="1"/>
  <c r="B1309" i="2" s="1"/>
  <c r="B1310" i="2" s="1"/>
  <c r="B1311" i="2" s="1"/>
  <c r="B1312" i="2" s="1"/>
  <c r="B1313" i="2" s="1"/>
  <c r="B1314" i="2" s="1"/>
  <c r="B1315" i="2" s="1"/>
  <c r="B1316" i="2" s="1"/>
  <c r="B1317" i="2" s="1"/>
  <c r="B1318" i="2" s="1"/>
  <c r="B1319" i="2" s="1"/>
  <c r="B1320" i="2" s="1"/>
  <c r="B1321" i="2" s="1"/>
  <c r="B1322" i="2" s="1"/>
  <c r="B1323" i="2" s="1"/>
  <c r="B1324" i="2" s="1"/>
  <c r="B1325" i="2" s="1"/>
  <c r="B1326" i="2" s="1"/>
  <c r="B1327" i="2" s="1"/>
  <c r="B1328" i="2" s="1"/>
  <c r="B1329" i="2" s="1"/>
  <c r="B1330" i="2" s="1"/>
  <c r="B1331" i="2" s="1"/>
  <c r="B1332" i="2" s="1"/>
  <c r="B1333" i="2" s="1"/>
  <c r="B1334" i="2" s="1"/>
  <c r="B1335" i="2" s="1"/>
  <c r="B1336" i="2" s="1"/>
  <c r="B1337" i="2" s="1"/>
  <c r="B1338" i="2" s="1"/>
  <c r="B1339" i="2" s="1"/>
  <c r="B1340" i="2" s="1"/>
  <c r="B1341" i="2" s="1"/>
  <c r="B1342" i="2" s="1"/>
  <c r="B1343" i="2" s="1"/>
  <c r="B1344" i="2" s="1"/>
  <c r="B1345" i="2" s="1"/>
  <c r="B1346" i="2" s="1"/>
  <c r="B1347" i="2" s="1"/>
  <c r="B1348" i="2" s="1"/>
  <c r="B1349" i="2" s="1"/>
  <c r="B1350" i="2" s="1"/>
  <c r="B1351" i="2" s="1"/>
  <c r="B1352" i="2" s="1"/>
  <c r="B1353" i="2" s="1"/>
  <c r="B1354" i="2" s="1"/>
  <c r="B1355" i="2" s="1"/>
  <c r="B1356" i="2" s="1"/>
  <c r="B1357" i="2" s="1"/>
  <c r="B1358" i="2" s="1"/>
  <c r="B1359" i="2" s="1"/>
  <c r="B1360" i="2" s="1"/>
  <c r="B1361" i="2" s="1"/>
  <c r="B1362" i="2" s="1"/>
  <c r="B1363" i="2" s="1"/>
  <c r="B1364" i="2" s="1"/>
  <c r="B1365" i="2" s="1"/>
  <c r="B1366" i="2" s="1"/>
  <c r="B1367" i="2" s="1"/>
  <c r="B1368" i="2" s="1"/>
  <c r="B1369" i="2" s="1"/>
  <c r="B1370" i="2" s="1"/>
  <c r="B1371" i="2" s="1"/>
  <c r="B1372" i="2" s="1"/>
  <c r="B1373" i="2" s="1"/>
  <c r="B1374" i="2" s="1"/>
  <c r="B1375" i="2" s="1"/>
  <c r="B1376" i="2" s="1"/>
  <c r="B1377" i="2" s="1"/>
  <c r="B1378" i="2" s="1"/>
  <c r="B1379" i="2" s="1"/>
  <c r="B1380" i="2" s="1"/>
  <c r="B1381" i="2" s="1"/>
  <c r="B1382" i="2" s="1"/>
  <c r="B1383" i="2" s="1"/>
  <c r="B1384" i="2" s="1"/>
  <c r="B1385" i="2" s="1"/>
  <c r="B1386" i="2" s="1"/>
  <c r="B1387" i="2" s="1"/>
  <c r="B1388" i="2" s="1"/>
  <c r="B1389" i="2" s="1"/>
  <c r="B1390" i="2" s="1"/>
  <c r="B1391" i="2" s="1"/>
  <c r="B1392" i="2" s="1"/>
  <c r="B1393" i="2" s="1"/>
  <c r="B1394" i="2" s="1"/>
  <c r="B1395" i="2" s="1"/>
  <c r="B1396" i="2" s="1"/>
  <c r="B1397" i="2" s="1"/>
  <c r="B1398" i="2" s="1"/>
  <c r="B1399" i="2" s="1"/>
  <c r="B1400" i="2" s="1"/>
  <c r="B1401" i="2" s="1"/>
  <c r="B1402" i="2" s="1"/>
  <c r="B1403" i="2" s="1"/>
  <c r="B1404" i="2" s="1"/>
  <c r="B1405" i="2" s="1"/>
  <c r="B1406" i="2" s="1"/>
  <c r="B1407" i="2" s="1"/>
  <c r="B1408" i="2" s="1"/>
  <c r="B1409" i="2" s="1"/>
  <c r="B1410" i="2" s="1"/>
  <c r="B1411" i="2" s="1"/>
  <c r="B1412" i="2" s="1"/>
  <c r="B1413" i="2" s="1"/>
  <c r="B1414" i="2" s="1"/>
  <c r="B1415" i="2" s="1"/>
  <c r="B1416" i="2" s="1"/>
  <c r="B1417" i="2" s="1"/>
  <c r="B1418" i="2" s="1"/>
  <c r="B1419" i="2" s="1"/>
  <c r="B1420" i="2" s="1"/>
  <c r="B1421" i="2" s="1"/>
  <c r="B1422" i="2" s="1"/>
  <c r="B1423" i="2" s="1"/>
  <c r="B1424" i="2" s="1"/>
  <c r="B1425" i="2" s="1"/>
  <c r="B1426" i="2" s="1"/>
  <c r="B1427" i="2" s="1"/>
  <c r="B1428" i="2" s="1"/>
  <c r="B1429" i="2" s="1"/>
  <c r="B1430" i="2" s="1"/>
  <c r="B1431" i="2" s="1"/>
  <c r="B1432" i="2" s="1"/>
  <c r="B1433" i="2" s="1"/>
  <c r="B1434" i="2" s="1"/>
  <c r="B1435" i="2" s="1"/>
  <c r="B1436" i="2" s="1"/>
  <c r="B1437" i="2" s="1"/>
  <c r="B1438" i="2" s="1"/>
  <c r="B1439" i="2" s="1"/>
  <c r="B1440" i="2" s="1"/>
  <c r="B1441" i="2" s="1"/>
  <c r="B1442" i="2" s="1"/>
  <c r="B1443" i="2" s="1"/>
  <c r="B1444" i="2" s="1"/>
  <c r="B1445" i="2" s="1"/>
  <c r="B1446" i="2" s="1"/>
  <c r="B1447" i="2" s="1"/>
  <c r="B1448" i="2" s="1"/>
  <c r="B1449" i="2" s="1"/>
  <c r="B1450" i="2" s="1"/>
  <c r="B1451" i="2" s="1"/>
  <c r="B1452" i="2" s="1"/>
  <c r="B1453" i="2" s="1"/>
  <c r="B1454" i="2" s="1"/>
  <c r="B1455" i="2" s="1"/>
  <c r="B1456" i="2" s="1"/>
  <c r="B1457" i="2" s="1"/>
  <c r="B1458" i="2" s="1"/>
  <c r="B1459" i="2" s="1"/>
  <c r="B1460" i="2" s="1"/>
  <c r="B1461" i="2" s="1"/>
  <c r="B1462" i="2" s="1"/>
  <c r="B1463" i="2" s="1"/>
  <c r="B1464" i="2" s="1"/>
  <c r="B1465" i="2" s="1"/>
  <c r="B1466" i="2" s="1"/>
  <c r="B1467" i="2" s="1"/>
  <c r="B1468" i="2" s="1"/>
  <c r="B1469" i="2" s="1"/>
  <c r="B1470" i="2" s="1"/>
  <c r="B1471" i="2" s="1"/>
  <c r="B1472" i="2" s="1"/>
  <c r="B1473" i="2" s="1"/>
  <c r="B1474" i="2" s="1"/>
  <c r="B1475" i="2" s="1"/>
  <c r="B1476" i="2" s="1"/>
  <c r="B1477" i="2" s="1"/>
  <c r="B1478" i="2" s="1"/>
  <c r="B1479" i="2" s="1"/>
  <c r="B1480" i="2" s="1"/>
  <c r="B1481" i="2" s="1"/>
  <c r="B1482" i="2" s="1"/>
  <c r="B1483" i="2" s="1"/>
  <c r="B1484" i="2" s="1"/>
  <c r="B1485" i="2" s="1"/>
  <c r="B1486" i="2" s="1"/>
  <c r="B1487" i="2" s="1"/>
  <c r="B1488" i="2" s="1"/>
  <c r="B1489" i="2" s="1"/>
  <c r="B1490" i="2" s="1"/>
  <c r="B1491" i="2" s="1"/>
  <c r="B1492" i="2" s="1"/>
  <c r="B1493" i="2" s="1"/>
  <c r="B1494" i="2" s="1"/>
  <c r="B1495" i="2" s="1"/>
  <c r="B1496" i="2" s="1"/>
  <c r="B1497" i="2" s="1"/>
  <c r="B1498" i="2" s="1"/>
  <c r="B1499" i="2" s="1"/>
  <c r="B1500" i="2" s="1"/>
  <c r="B1501" i="2" s="1"/>
  <c r="B1502" i="2" s="1"/>
  <c r="E38" i="1"/>
  <c r="E39" i="1" l="1"/>
  <c r="E40" i="1" l="1"/>
  <c r="E41" i="1" l="1"/>
  <c r="E42" i="1" l="1"/>
  <c r="E43" i="1" l="1"/>
  <c r="E44" i="1" l="1"/>
  <c r="E45" i="1" l="1"/>
  <c r="E46" i="1" l="1"/>
  <c r="E47" i="1" l="1"/>
  <c r="E48" i="1" l="1"/>
  <c r="E49" i="1" l="1"/>
  <c r="E50" i="1" l="1"/>
  <c r="E51" i="1" l="1"/>
  <c r="E52" i="1" l="1"/>
  <c r="E53" i="1" l="1"/>
  <c r="E54" i="1" l="1"/>
  <c r="E55" i="1" l="1"/>
  <c r="E56" i="1" l="1"/>
  <c r="E57" i="1" l="1"/>
  <c r="E58" i="1" l="1"/>
  <c r="E59" i="1" l="1"/>
  <c r="E60" i="1" l="1"/>
  <c r="E61" i="1" l="1"/>
  <c r="E62" i="1" l="1"/>
  <c r="E63" i="1" l="1"/>
  <c r="E64" i="1" l="1"/>
  <c r="E65" i="1" l="1"/>
  <c r="E66" i="1" l="1"/>
  <c r="E67" i="1" l="1"/>
  <c r="E68" i="1" l="1"/>
  <c r="E69" i="1" l="1"/>
  <c r="E70" i="1" l="1"/>
  <c r="E71" i="1" l="1"/>
  <c r="O55" i="1" l="1"/>
  <c r="C34" i="1" s="1"/>
  <c r="O57" i="1"/>
  <c r="O52" i="1"/>
  <c r="O56" i="1"/>
  <c r="O51" i="1"/>
  <c r="C32" i="1" s="1"/>
  <c r="O54" i="1"/>
  <c r="O5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G64" i="1" l="1"/>
  <c r="I64" i="1" s="1"/>
  <c r="H64" i="1"/>
  <c r="G56" i="1"/>
  <c r="I56" i="1" s="1"/>
  <c r="H56" i="1"/>
  <c r="G48" i="1"/>
  <c r="I48" i="1" s="1"/>
  <c r="H48" i="1"/>
  <c r="G40" i="1"/>
  <c r="I40" i="1" s="1"/>
  <c r="H71" i="1"/>
  <c r="G71" i="1"/>
  <c r="I71" i="1" s="1"/>
  <c r="G63" i="1"/>
  <c r="I63" i="1" s="1"/>
  <c r="H63" i="1"/>
  <c r="G55" i="1"/>
  <c r="I55" i="1" s="1"/>
  <c r="H55" i="1"/>
  <c r="G47" i="1"/>
  <c r="I47" i="1" s="1"/>
  <c r="H47" i="1"/>
  <c r="G70" i="1"/>
  <c r="I70" i="1" s="1"/>
  <c r="H70" i="1"/>
  <c r="G62" i="1"/>
  <c r="I62" i="1" s="1"/>
  <c r="H62" i="1"/>
  <c r="G54" i="1"/>
  <c r="I54" i="1" s="1"/>
  <c r="H54" i="1"/>
  <c r="G46" i="1"/>
  <c r="I46" i="1" s="1"/>
  <c r="H46" i="1"/>
  <c r="G69" i="1"/>
  <c r="I69" i="1" s="1"/>
  <c r="H69" i="1"/>
  <c r="G61" i="1"/>
  <c r="I61" i="1" s="1"/>
  <c r="H61" i="1"/>
  <c r="G53" i="1"/>
  <c r="I53" i="1" s="1"/>
  <c r="H53" i="1"/>
  <c r="G45" i="1"/>
  <c r="I45" i="1" s="1"/>
  <c r="H45" i="1"/>
  <c r="C39" i="1"/>
  <c r="G36" i="1"/>
  <c r="I36" i="1" s="1"/>
  <c r="G31" i="1"/>
  <c r="I31" i="1" s="1"/>
  <c r="G35" i="1"/>
  <c r="I35" i="1" s="1"/>
  <c r="G32" i="1"/>
  <c r="I32" i="1" s="1"/>
  <c r="G34" i="1"/>
  <c r="I34" i="1" s="1"/>
  <c r="C41" i="1"/>
  <c r="G33" i="1"/>
  <c r="I33" i="1" s="1"/>
  <c r="G37" i="1"/>
  <c r="I37" i="1" s="1"/>
  <c r="G38" i="1"/>
  <c r="I38" i="1" s="1"/>
  <c r="G68" i="1"/>
  <c r="I68" i="1" s="1"/>
  <c r="H68" i="1"/>
  <c r="G60" i="1"/>
  <c r="I60" i="1" s="1"/>
  <c r="H60" i="1"/>
  <c r="G52" i="1"/>
  <c r="I52" i="1" s="1"/>
  <c r="H52" i="1"/>
  <c r="G44" i="1"/>
  <c r="I44" i="1" s="1"/>
  <c r="H44" i="1"/>
  <c r="G67" i="1"/>
  <c r="I67" i="1" s="1"/>
  <c r="H67" i="1"/>
  <c r="G59" i="1"/>
  <c r="I59" i="1" s="1"/>
  <c r="H59" i="1"/>
  <c r="G51" i="1"/>
  <c r="I51" i="1" s="1"/>
  <c r="H51" i="1"/>
  <c r="G66" i="1"/>
  <c r="I66" i="1" s="1"/>
  <c r="H66" i="1"/>
  <c r="G58" i="1"/>
  <c r="I58" i="1" s="1"/>
  <c r="H58" i="1"/>
  <c r="G50" i="1"/>
  <c r="I50" i="1" s="1"/>
  <c r="H50" i="1"/>
  <c r="G42" i="1"/>
  <c r="I42" i="1" s="1"/>
  <c r="G65" i="1"/>
  <c r="I65" i="1" s="1"/>
  <c r="H65" i="1"/>
  <c r="G57" i="1"/>
  <c r="I57" i="1" s="1"/>
  <c r="H57" i="1"/>
  <c r="G49" i="1"/>
  <c r="I49" i="1" s="1"/>
  <c r="H49" i="1"/>
  <c r="G41" i="1"/>
  <c r="I41" i="1" s="1"/>
  <c r="F41" i="1" l="1"/>
  <c r="H41" i="1" s="1"/>
  <c r="F42" i="1"/>
  <c r="H42" i="1" s="1"/>
  <c r="F43" i="1"/>
  <c r="F40" i="1"/>
  <c r="H40" i="1" s="1"/>
  <c r="C40" i="1"/>
  <c r="F35" i="1"/>
  <c r="H35" i="1" s="1"/>
  <c r="F32" i="1"/>
  <c r="H32" i="1" s="1"/>
  <c r="F36" i="1"/>
  <c r="H36" i="1" s="1"/>
  <c r="F33" i="1"/>
  <c r="H33" i="1" s="1"/>
  <c r="F31" i="1"/>
  <c r="H31" i="1" s="1"/>
  <c r="F37" i="1"/>
  <c r="H37" i="1" s="1"/>
  <c r="F34" i="1"/>
  <c r="H34" i="1" s="1"/>
  <c r="F38" i="1"/>
  <c r="H38" i="1" s="1"/>
  <c r="F39" i="1"/>
  <c r="G43" i="1" l="1"/>
  <c r="I43" i="1" s="1"/>
  <c r="H43" i="1"/>
  <c r="G39" i="1"/>
  <c r="I39" i="1" s="1"/>
  <c r="H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<sst xmlns="http://schemas.openxmlformats.org/spreadsheetml/2006/main" count="64" uniqueCount="49">
  <si>
    <t>pedal</t>
  </si>
  <si>
    <t>offset</t>
  </si>
  <si>
    <t>mode</t>
  </si>
  <si>
    <t>motor</t>
  </si>
  <si>
    <t>OOL</t>
  </si>
  <si>
    <t>motor rpm</t>
  </si>
  <si>
    <t>engine no-load rpm</t>
  </si>
  <si>
    <t>engine OOL rpm</t>
  </si>
  <si>
    <t>kph</t>
  </si>
  <si>
    <t>nE @ max pedal, no load</t>
  </si>
  <si>
    <t>pedal position at min nE</t>
  </si>
  <si>
    <t>step 2: adjust idle screw for idle rpm</t>
  </si>
  <si>
    <t>step 3: determine pedal offset</t>
  </si>
  <si>
    <t>OOL rpm @ idle rack</t>
  </si>
  <si>
    <t>OOL rpm @ max pedal</t>
  </si>
  <si>
    <t>* assume OOL torque at idle rpm is zero</t>
  </si>
  <si>
    <t>nE @ motor rpm</t>
  </si>
  <si>
    <t>step 4: extrapolate OOL rpm @ max pedal</t>
  </si>
  <si>
    <t>step 1: set cable offset to achieve max nE_NL</t>
  </si>
  <si>
    <t>for labview:</t>
  </si>
  <si>
    <t>-  two-slope line: motor only vs hybrid</t>
  </si>
  <si>
    <t>-  translate pedal position to desired motor speed</t>
  </si>
  <si>
    <t>-  P or PI control for speed using tacho as output and OOL speed as setpoint</t>
  </si>
  <si>
    <t>-  if rpm&gt;OOL, then P-control values ???</t>
  </si>
  <si>
    <t>nt</t>
  </si>
  <si>
    <t>xt</t>
  </si>
  <si>
    <t>nmax</t>
  </si>
  <si>
    <t>engine rpm</t>
  </si>
  <si>
    <t>rack</t>
  </si>
  <si>
    <t>deg</t>
  </si>
  <si>
    <t>a_1</t>
  </si>
  <si>
    <t>n vs pedal</t>
  </si>
  <si>
    <t>n vs rack</t>
  </si>
  <si>
    <t>rack min</t>
  </si>
  <si>
    <t>rack max</t>
  </si>
  <si>
    <t>theta_t</t>
  </si>
  <si>
    <t>OOL raw</t>
  </si>
  <si>
    <t>OOL rpm</t>
  </si>
  <si>
    <t>=1</t>
  </si>
  <si>
    <t>slope@xt</t>
  </si>
  <si>
    <t>t</t>
  </si>
  <si>
    <t>start</t>
  </si>
  <si>
    <t>end</t>
  </si>
  <si>
    <t>duration</t>
  </si>
  <si>
    <t>start kph</t>
  </si>
  <si>
    <t>end kph</t>
  </si>
  <si>
    <t>remarks</t>
  </si>
  <si>
    <t>acc kph/sec</t>
  </si>
  <si>
    <t>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</si>
</sst>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" fontId="0" fillId="0" borderId="0" xfId="0" applyNumberFormat="1"/>
    <xf numFmtId="0" fontId="1" fillId="0" borderId="0" xfId="0" applyFont="1"/>
    <xf numFmtId="0" fontId="0" fillId="0" borderId="0" xfId="0" quotePrefix="1"/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/>
    <xf numFmtId="164" fontId="1" fillId="2" borderId="0" xfId="0" applyNumberFormat="1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'OOL and Rack Data'!$J$2</c:f>
              <c:strCache>
                <c:ptCount val="1"/>
                <c:pt idx="0">
                  <c:v>kph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'OOL and Rack Data'!$B$3:$B$14</c:f>
            </c:numRef>
          </c:xVal>
          <c:yVal>
            <c:numRef>
              <c:f>'OOL and Rack Data'!$J$3:$J$14</c:f>
            </c:numRef>
          </c:yVal>
          <c:smooth val="0"/>
          <c:extLst>
            <c:ext xmlns:c16="http://schemas.microsoft.com/office/drawing/2014/chart" uri="{C3380CC4-5D6E-409C-BE32-E72D297353CC}">
              <c16:uniqueId val="{00000000-DA68-41A3-A192-F2E306191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795872"/>
        <c:axId val="919424"/>
      </c:scatterChart>
      <c:scatterChart>
        <c:scatterStyle val="lineMarker"/>
        <c:varyColors val="0"/>
        <c:ser>
          <c:idx val="1"/>
          <c:order val="1"/>
          <c:tx>
            <c:strRef>
              <c:f>'OOL and Rack Data'!$D$2</c:f>
              <c:strCache>
                <c:ptCount val="1"/>
                <c:pt idx="0">
                  <c:v>engine OOL rpm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'OOL and Rack Data'!$B$3:$B$14</c:f>
            </c:numRef>
          </c:xVal>
          <c:yVal>
            <c:numRef>
              <c:f>'OOL and Rack Data'!$D$3:$D$14</c:f>
            </c:numRef>
          </c:yVal>
          <c:smooth val="0"/>
          <c:extLst>
            <c:ext xmlns:c16="http://schemas.microsoft.com/office/drawing/2014/chart" uri="{C3380CC4-5D6E-409C-BE32-E72D297353CC}">
              <c16:uniqueId val="{00000001-DA68-41A3-A192-F2E306191A4D}"/>
            </c:ext>
          </c:extLst>
        </c:ser>
        <c:ser>
          <c:idx val="2"/>
          <c:order val="2"/>
          <c:tx>
            <c:strRef>
              <c:f>'OOL and Rack Data'!$C$2</c:f>
              <c:strCache>
                <c:ptCount val="1"/>
                <c:pt idx="0">
                  <c:v>engine no-load rpm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'OOL and Rack Data'!$B$3:$B$14</c:f>
            </c:numRef>
          </c:xVal>
          <c:yVal>
            <c:numRef>
              <c:f>'OOL and Rack Data'!$C$3:$C$14</c:f>
            </c:numRef>
          </c:yVal>
          <c:smooth val="0"/>
          <c:extLst>
            <c:ext xmlns:c16="http://schemas.microsoft.com/office/drawing/2014/chart" uri="{C3380CC4-5D6E-409C-BE32-E72D297353CC}">
              <c16:uniqueId val="{00000002-DA68-41A3-A192-F2E306191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6528"/>
        <c:axId val="920256"/>
      </c:scatterChart>
      <c:valAx>
        <c:axId val="183479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424"/>
        <c:crosses val="autoZero"/>
        <c:crossBetween val="midCat"/>
      </c:valAx>
      <c:valAx>
        <c:axId val="91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795872"/>
        <c:crosses val="autoZero"/>
        <c:crossBetween val="midCat"/>
      </c:valAx>
      <c:valAx>
        <c:axId val="92025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528"/>
        <c:crosses val="max"/>
        <c:crossBetween val="midCat"/>
      </c:valAx>
      <c:valAx>
        <c:axId val="906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2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 RPM</a:t>
            </a:r>
            <a:r>
              <a:rPr lang="en-PH" baseline="0"/>
              <a:t> vs Pedal Speed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'OOL and Rack Data'!$F$30</c:f>
              <c:strCache>
                <c:ptCount val="1"/>
                <c:pt idx="0">
                  <c:v>motor rpm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'OOL and Rack Data'!$E$31:$E$71</c:f>
              <c:numCache>
                <c:formatCode>General</c:formatCode>
                <c:ptCount val="4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  <c:pt idx="21">
                  <c:v>52.5</c:v>
                </c:pt>
                <c:pt idx="22">
                  <c:v>55</c:v>
                </c:pt>
                <c:pt idx="23">
                  <c:v>57.5</c:v>
                </c:pt>
                <c:pt idx="24">
                  <c:v>60</c:v>
                </c:pt>
                <c:pt idx="25">
                  <c:v>62.5</c:v>
                </c:pt>
                <c:pt idx="26">
                  <c:v>65</c:v>
                </c:pt>
                <c:pt idx="27">
                  <c:v>67.5</c:v>
                </c:pt>
                <c:pt idx="28">
                  <c:v>70</c:v>
                </c:pt>
                <c:pt idx="29">
                  <c:v>72.5</c:v>
                </c:pt>
                <c:pt idx="30">
                  <c:v>75</c:v>
                </c:pt>
                <c:pt idx="31">
                  <c:v>77.5</c:v>
                </c:pt>
                <c:pt idx="32">
                  <c:v>80</c:v>
                </c:pt>
                <c:pt idx="33">
                  <c:v>82.5</c:v>
                </c:pt>
                <c:pt idx="34">
                  <c:v>85</c:v>
                </c:pt>
                <c:pt idx="35">
                  <c:v>87.5</c:v>
                </c:pt>
                <c:pt idx="36">
                  <c:v>90</c:v>
                </c:pt>
                <c:pt idx="37">
                  <c:v>92.5</c:v>
                </c:pt>
                <c:pt idx="38">
                  <c:v>95</c:v>
                </c:pt>
                <c:pt idx="39">
                  <c:v>97.5</c:v>
                </c:pt>
                <c:pt idx="40">
                  <c:v>100</c:v>
                </c:pt>
              </c:numCache>
            </c:numRef>
          </c:xVal>
          <c:yVal>
            <c:numRef>
              <c:f>'OOL and Rack Data'!$F$31:$F$71</c:f>
              <c:numCache>
                <c:formatCode>General</c:formatCode>
                <c:ptCount val="41"/>
                <c:pt idx="0">
                  <c:v>0</c:v>
                </c:pt>
                <c:pt idx="1">
                  <c:v>18.712300346998536</c:v>
                </c:pt>
                <c:pt idx="2">
                  <c:v>73.711405198472846</c:v>
                </c:pt>
                <c:pt idx="3">
                  <c:v>161.65310936496749</c:v>
                </c:pt>
                <c:pt idx="4">
                  <c:v>277.19014211839749</c:v>
                </c:pt>
                <c:pt idx="5">
                  <c:v>413.29730649325336</c:v>
                </c:pt>
                <c:pt idx="6">
                  <c:v>561.6986444234235</c:v>
                </c:pt>
                <c:pt idx="7">
                  <c:v>713.3706540579517</c:v>
                </c:pt>
                <c:pt idx="8">
                  <c:v>859.09096126757299</c:v>
                </c:pt>
                <c:pt idx="9">
                  <c:v>989.99908352451757</c:v>
                </c:pt>
                <c:pt idx="10">
                  <c:v>1098.1351890646908</c:v>
                </c:pt>
                <c:pt idx="11">
                  <c:v>1176.9240922320428</c:v>
                </c:pt>
                <c:pt idx="12">
                  <c:v>1221.5750558035716</c:v>
                </c:pt>
                <c:pt idx="13">
                  <c:v>1248.0685905612247</c:v>
                </c:pt>
                <c:pt idx="14">
                  <c:v>1274.5621253188779</c:v>
                </c:pt>
                <c:pt idx="15">
                  <c:v>1301.0556600765308</c:v>
                </c:pt>
                <c:pt idx="16">
                  <c:v>1327.5491948341839</c:v>
                </c:pt>
                <c:pt idx="17">
                  <c:v>1354.0427295918369</c:v>
                </c:pt>
                <c:pt idx="18">
                  <c:v>1380.53626434949</c:v>
                </c:pt>
                <c:pt idx="19">
                  <c:v>1407.0297991071429</c:v>
                </c:pt>
                <c:pt idx="20">
                  <c:v>1433.5233338647961</c:v>
                </c:pt>
                <c:pt idx="21">
                  <c:v>1460.016868622449</c:v>
                </c:pt>
                <c:pt idx="22">
                  <c:v>1486.5104033801022</c:v>
                </c:pt>
                <c:pt idx="23">
                  <c:v>1513.0039381377553</c:v>
                </c:pt>
                <c:pt idx="24">
                  <c:v>1539.4974728954085</c:v>
                </c:pt>
                <c:pt idx="25">
                  <c:v>1565.9910076530614</c:v>
                </c:pt>
                <c:pt idx="26">
                  <c:v>1592.4845424107143</c:v>
                </c:pt>
                <c:pt idx="27">
                  <c:v>1618.9780771683675</c:v>
                </c:pt>
                <c:pt idx="28">
                  <c:v>1645.4716119260206</c:v>
                </c:pt>
                <c:pt idx="29">
                  <c:v>1671.9651466836735</c:v>
                </c:pt>
                <c:pt idx="30">
                  <c:v>1698.4586814413265</c:v>
                </c:pt>
                <c:pt idx="31">
                  <c:v>1724.9522161989796</c:v>
                </c:pt>
                <c:pt idx="32">
                  <c:v>1751.4457509566328</c:v>
                </c:pt>
                <c:pt idx="33">
                  <c:v>1777.9392857142857</c:v>
                </c:pt>
                <c:pt idx="34">
                  <c:v>1804.4328204719388</c:v>
                </c:pt>
                <c:pt idx="35">
                  <c:v>1830.926355229592</c:v>
                </c:pt>
                <c:pt idx="36">
                  <c:v>1857.4198899872451</c:v>
                </c:pt>
                <c:pt idx="37">
                  <c:v>1883.9134247448981</c:v>
                </c:pt>
                <c:pt idx="38">
                  <c:v>1910.406959502551</c:v>
                </c:pt>
                <c:pt idx="39">
                  <c:v>1936.9004942602044</c:v>
                </c:pt>
                <c:pt idx="40">
                  <c:v>1963.3940290178568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87-4309-8B2D-AC7D9FA346D7}"/>
            </c:ext>
          </c:extLst>
        </c:ser>
        <c:ser>
          <c:idx val="1"/>
          <c:order val="1"/>
          <c:tx>
            <c:strRef>
              <c:f>'OOL and Rack Data'!$G$30</c:f>
              <c:strCache>
                <c:ptCount val="1"/>
                <c:pt idx="0">
                  <c:v>engine rpm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'OOL and Rack Data'!$E$31:$E$71</c:f>
              <c:numCache>
                <c:formatCode>General</c:formatCode>
                <c:ptCount val="4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12.5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  <c:pt idx="17">
                  <c:v>42.5</c:v>
                </c:pt>
                <c:pt idx="18">
                  <c:v>45</c:v>
                </c:pt>
                <c:pt idx="19">
                  <c:v>47.5</c:v>
                </c:pt>
                <c:pt idx="20">
                  <c:v>50</c:v>
                </c:pt>
                <c:pt idx="21">
                  <c:v>52.5</c:v>
                </c:pt>
                <c:pt idx="22">
                  <c:v>55</c:v>
                </c:pt>
                <c:pt idx="23">
                  <c:v>57.5</c:v>
                </c:pt>
                <c:pt idx="24">
                  <c:v>60</c:v>
                </c:pt>
                <c:pt idx="25">
                  <c:v>62.5</c:v>
                </c:pt>
                <c:pt idx="26">
                  <c:v>65</c:v>
                </c:pt>
                <c:pt idx="27">
                  <c:v>67.5</c:v>
                </c:pt>
                <c:pt idx="28">
                  <c:v>70</c:v>
                </c:pt>
                <c:pt idx="29">
                  <c:v>72.5</c:v>
                </c:pt>
                <c:pt idx="30">
                  <c:v>75</c:v>
                </c:pt>
                <c:pt idx="31">
                  <c:v>77.5</c:v>
                </c:pt>
                <c:pt idx="32">
                  <c:v>80</c:v>
                </c:pt>
                <c:pt idx="33">
                  <c:v>82.5</c:v>
                </c:pt>
                <c:pt idx="34">
                  <c:v>85</c:v>
                </c:pt>
                <c:pt idx="35">
                  <c:v>87.5</c:v>
                </c:pt>
                <c:pt idx="36">
                  <c:v>90</c:v>
                </c:pt>
                <c:pt idx="37">
                  <c:v>92.5</c:v>
                </c:pt>
                <c:pt idx="38">
                  <c:v>95</c:v>
                </c:pt>
                <c:pt idx="39">
                  <c:v>97.5</c:v>
                </c:pt>
                <c:pt idx="40">
                  <c:v>100</c:v>
                </c:pt>
              </c:numCache>
            </c:numRef>
          </c:xVal>
          <c:yVal>
            <c:numRef>
              <c:f>'OOL and Rack Data'!$G$31:$G$71</c:f>
              <c:numCache>
                <c:formatCode>0.0</c:formatCode>
                <c:ptCount val="41"/>
                <c:pt idx="0">
                  <c:v>1303.0133928571431</c:v>
                </c:pt>
                <c:pt idx="1">
                  <c:v>1303.0133928571431</c:v>
                </c:pt>
                <c:pt idx="2">
                  <c:v>1303.0133928571431</c:v>
                </c:pt>
                <c:pt idx="3">
                  <c:v>1303.0133928571431</c:v>
                </c:pt>
                <c:pt idx="4">
                  <c:v>1303.0133928571431</c:v>
                </c:pt>
                <c:pt idx="5">
                  <c:v>1303.0133928571431</c:v>
                </c:pt>
                <c:pt idx="6">
                  <c:v>1303.0133928571431</c:v>
                </c:pt>
                <c:pt idx="7">
                  <c:v>1303.0133928571431</c:v>
                </c:pt>
                <c:pt idx="8">
                  <c:v>1303.0133928571431</c:v>
                </c:pt>
                <c:pt idx="9">
                  <c:v>1303.0133928571431</c:v>
                </c:pt>
                <c:pt idx="10">
                  <c:v>1303.0133928571431</c:v>
                </c:pt>
                <c:pt idx="11">
                  <c:v>1303.0133928571431</c:v>
                </c:pt>
                <c:pt idx="12">
                  <c:v>1303.0133928571429</c:v>
                </c:pt>
                <c:pt idx="13">
                  <c:v>1331.2731632653063</c:v>
                </c:pt>
                <c:pt idx="14">
                  <c:v>1359.5329336734696</c:v>
                </c:pt>
                <c:pt idx="15">
                  <c:v>1387.7927040816328</c:v>
                </c:pt>
                <c:pt idx="16">
                  <c:v>1416.0524744897962</c:v>
                </c:pt>
                <c:pt idx="17">
                  <c:v>1444.3122448979593</c:v>
                </c:pt>
                <c:pt idx="18">
                  <c:v>1472.5720153061227</c:v>
                </c:pt>
                <c:pt idx="19">
                  <c:v>1500.8317857142858</c:v>
                </c:pt>
                <c:pt idx="20">
                  <c:v>1529.0915561224492</c:v>
                </c:pt>
                <c:pt idx="21">
                  <c:v>1557.3513265306124</c:v>
                </c:pt>
                <c:pt idx="22">
                  <c:v>1585.6110969387757</c:v>
                </c:pt>
                <c:pt idx="23">
                  <c:v>1613.8708673469389</c:v>
                </c:pt>
                <c:pt idx="24">
                  <c:v>1642.1306377551023</c:v>
                </c:pt>
                <c:pt idx="25">
                  <c:v>1670.3904081632654</c:v>
                </c:pt>
                <c:pt idx="26">
                  <c:v>1698.6501785714286</c:v>
                </c:pt>
                <c:pt idx="27">
                  <c:v>1726.9099489795919</c:v>
                </c:pt>
                <c:pt idx="28">
                  <c:v>1755.1697193877553</c:v>
                </c:pt>
                <c:pt idx="29">
                  <c:v>1783.4294897959185</c:v>
                </c:pt>
                <c:pt idx="30">
                  <c:v>1811.6892602040816</c:v>
                </c:pt>
                <c:pt idx="31">
                  <c:v>1839.949030612245</c:v>
                </c:pt>
                <c:pt idx="32">
                  <c:v>1868.2088010204084</c:v>
                </c:pt>
                <c:pt idx="33">
                  <c:v>1896.4685714285713</c:v>
                </c:pt>
                <c:pt idx="34">
                  <c:v>1924.7283418367347</c:v>
                </c:pt>
                <c:pt idx="35">
                  <c:v>1952.988112244898</c:v>
                </c:pt>
                <c:pt idx="36">
                  <c:v>1981.2478826530614</c:v>
                </c:pt>
                <c:pt idx="37">
                  <c:v>2009.5076530612246</c:v>
                </c:pt>
                <c:pt idx="38">
                  <c:v>2037.7674234693877</c:v>
                </c:pt>
                <c:pt idx="39">
                  <c:v>2066.0271938775513</c:v>
                </c:pt>
                <c:pt idx="40">
                  <c:v>2094.286964285714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87-4309-8B2D-AC7D9FA346D7}"/>
            </c:ext>
          </c:extLst>
        </c:ser>
        <c:ser>
          <c:idx val="2"/>
          <c:order val="2"/>
          <c:tx>
            <c:strRef>
              <c:f>'OOL and Rack Data'!$M$50</c:f>
              <c:strCache>
                <c:ptCount val="1"/>
                <c:pt idx="0">
                  <c:v>OOL raw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'OOL and Rack Data'!$N$51:$N$57</c:f>
              <c:numCache>
                <c:formatCode>0.0</c:formatCode>
                <c:ptCount val="7"/>
                <c:pt idx="0">
                  <c:v>30</c:v>
                </c:pt>
                <c:pt idx="1">
                  <c:v>47.5</c:v>
                </c:pt>
                <c:pt idx="2">
                  <c:v>65</c:v>
                </c:pt>
                <c:pt idx="3">
                  <c:v>82.5</c:v>
                </c:pt>
                <c:pt idx="4">
                  <c:v>100</c:v>
                </c:pt>
                <c:pt idx="5">
                  <c:v>117.5</c:v>
                </c:pt>
                <c:pt idx="6">
                  <c:v>135</c:v>
                </c:pt>
              </c:numCache>
            </c:numRef>
          </c:xVal>
          <c:yVal>
            <c:numRef>
              <c:f>'OOL and Rack Data'!$M$51:$M$57</c:f>
              <c:numCache>
                <c:formatCode>General</c:formatCode>
                <c:ptCount val="7"/>
                <c:pt idx="0">
                  <c:v>1350</c:v>
                </c:pt>
                <c:pt idx="1">
                  <c:v>1460.7909999999999</c:v>
                </c:pt>
                <c:pt idx="2">
                  <c:v>1690.027</c:v>
                </c:pt>
                <c:pt idx="3">
                  <c:v>1828.29</c:v>
                </c:pt>
                <c:pt idx="4">
                  <c:v>2129.67</c:v>
                </c:pt>
                <c:pt idx="5">
                  <c:v>2378.652</c:v>
                </c:pt>
                <c:pt idx="6">
                  <c:v>2437.85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AB-4AFB-B75C-0349D3C55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7102608"/>
        <c:axId val="1671980208"/>
      </c:scatterChart>
      <c:valAx>
        <c:axId val="157710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Pedal Speed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980208"/>
        <c:crosses val="autoZero"/>
        <c:crossBetween val="midCat"/>
      </c:valAx>
      <c:valAx>
        <c:axId val="167198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102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RPM</a:t>
            </a:r>
            <a:r>
              <a:rPr lang="en-PH" baseline="0"/>
              <a:t> vs Rack Position</a:t>
            </a:r>
            <a:endParaRPr lang="en-PH"/>
          </a:p>
        </c:rich>
      </c:tx>
      <c:layout>
        <c:manualLayout>
          <c:xMode val="edge"/>
          <c:yMode val="edge"/>
          <c:x val="0.3718123359580052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0723206474190725"/>
                  <c:y val="-2.045822397200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'OOL and Rack Data'!$L$51:$L$57</c:f>
              <c:numCache>
                <c:formatCode>General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</c:numCache>
            </c:numRef>
          </c:xVal>
          <c:yVal>
            <c:numRef>
              <c:f>'OOL and Rack Data'!$M$51:$M$57</c:f>
              <c:numCache>
                <c:formatCode>General</c:formatCode>
                <c:ptCount val="7"/>
                <c:pt idx="0">
                  <c:v>1350</c:v>
                </c:pt>
                <c:pt idx="1">
                  <c:v>1460.7909999999999</c:v>
                </c:pt>
                <c:pt idx="2">
                  <c:v>1690.027</c:v>
                </c:pt>
                <c:pt idx="3">
                  <c:v>1828.29</c:v>
                </c:pt>
                <c:pt idx="4">
                  <c:v>2129.67</c:v>
                </c:pt>
                <c:pt idx="5">
                  <c:v>2378.652</c:v>
                </c:pt>
                <c:pt idx="6">
                  <c:v>2437.85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F7-40EA-B775-AAD78172E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9916480"/>
        <c:axId val="939905920"/>
      </c:scatterChart>
      <c:valAx>
        <c:axId val="93991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Rak Position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905920"/>
        <c:crosses val="autoZero"/>
        <c:crossBetween val="midCat"/>
      </c:valAx>
      <c:valAx>
        <c:axId val="93990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91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RPM vs Pedal Speed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940923009623797"/>
                  <c:y val="-2.02865266841644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'OOL and Rack Data'!$N$51:$N$57</c:f>
              <c:numCache>
                <c:formatCode>0.0</c:formatCode>
                <c:ptCount val="7"/>
                <c:pt idx="0">
                  <c:v>30</c:v>
                </c:pt>
                <c:pt idx="1">
                  <c:v>47.5</c:v>
                </c:pt>
                <c:pt idx="2">
                  <c:v>65</c:v>
                </c:pt>
                <c:pt idx="3">
                  <c:v>82.5</c:v>
                </c:pt>
                <c:pt idx="4">
                  <c:v>100</c:v>
                </c:pt>
                <c:pt idx="5">
                  <c:v>117.5</c:v>
                </c:pt>
                <c:pt idx="6">
                  <c:v>135</c:v>
                </c:pt>
              </c:numCache>
            </c:numRef>
          </c:xVal>
          <c:yVal>
            <c:numRef>
              <c:f>'OOL and Rack Data'!$M$51:$M$57</c:f>
              <c:numCache>
                <c:formatCode>General</c:formatCode>
                <c:ptCount val="7"/>
                <c:pt idx="0">
                  <c:v>1350</c:v>
                </c:pt>
                <c:pt idx="1">
                  <c:v>1460.7909999999999</c:v>
                </c:pt>
                <c:pt idx="2">
                  <c:v>1690.027</c:v>
                </c:pt>
                <c:pt idx="3">
                  <c:v>1828.29</c:v>
                </c:pt>
                <c:pt idx="4">
                  <c:v>2129.67</c:v>
                </c:pt>
                <c:pt idx="5">
                  <c:v>2378.652</c:v>
                </c:pt>
                <c:pt idx="6">
                  <c:v>2437.85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A9-4076-A23E-B3AEFD384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770576"/>
        <c:axId val="1042781616"/>
      </c:scatterChart>
      <c:valAx>
        <c:axId val="104277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Pedal</a:t>
                </a:r>
                <a:r>
                  <a:rPr lang="en-PH" baseline="0"/>
                  <a:t> Speed</a:t>
                </a:r>
                <a:endParaRPr lang="en-P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781616"/>
        <c:crosses val="autoZero"/>
        <c:crossBetween val="midCat"/>
      </c:valAx>
      <c:valAx>
        <c:axId val="104278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RPM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770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'drive cycle'!$B$1</c:f>
              <c:strCache>
                <c:ptCount val="1"/>
                <c:pt idx="0">
                  <c:v>kph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'drive cycle'!$A$2:$A$1502</c:f>
              <c:numCache>
                <c:formatCode>General</c:formatCode>
                <c:ptCount val="150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  <c:pt idx="21">
                  <c:v>4.2000000000000011</c:v>
                </c:pt>
                <c:pt idx="22">
                  <c:v>4.4000000000000012</c:v>
                </c:pt>
                <c:pt idx="23">
                  <c:v>4.6000000000000014</c:v>
                </c:pt>
                <c:pt idx="24">
                  <c:v>4.8000000000000016</c:v>
                </c:pt>
                <c:pt idx="25">
                  <c:v>5.0000000000000018</c:v>
                </c:pt>
                <c:pt idx="26">
                  <c:v>5.200000000000002</c:v>
                </c:pt>
                <c:pt idx="27">
                  <c:v>5.4000000000000021</c:v>
                </c:pt>
                <c:pt idx="28">
                  <c:v>5.6000000000000023</c:v>
                </c:pt>
                <c:pt idx="29">
                  <c:v>5.8000000000000025</c:v>
                </c:pt>
                <c:pt idx="30">
                  <c:v>6.0000000000000027</c:v>
                </c:pt>
                <c:pt idx="31">
                  <c:v>6.2000000000000028</c:v>
                </c:pt>
                <c:pt idx="32">
                  <c:v>6.400000000000003</c:v>
                </c:pt>
                <c:pt idx="33">
                  <c:v>6.6000000000000032</c:v>
                </c:pt>
                <c:pt idx="34">
                  <c:v>6.8000000000000034</c:v>
                </c:pt>
                <c:pt idx="35">
                  <c:v>7.0000000000000036</c:v>
                </c:pt>
                <c:pt idx="36">
                  <c:v>7.2000000000000037</c:v>
                </c:pt>
                <c:pt idx="37">
                  <c:v>7.4000000000000039</c:v>
                </c:pt>
                <c:pt idx="38">
                  <c:v>7.6000000000000041</c:v>
                </c:pt>
                <c:pt idx="39">
                  <c:v>7.8000000000000043</c:v>
                </c:pt>
                <c:pt idx="40">
                  <c:v>8.0000000000000036</c:v>
                </c:pt>
                <c:pt idx="41">
                  <c:v>8.2000000000000028</c:v>
                </c:pt>
                <c:pt idx="42">
                  <c:v>8.4000000000000021</c:v>
                </c:pt>
                <c:pt idx="43">
                  <c:v>8.6000000000000014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9.3999999999999986</c:v>
                </c:pt>
                <c:pt idx="48">
                  <c:v>9.5999999999999979</c:v>
                </c:pt>
                <c:pt idx="49">
                  <c:v>9.7999999999999972</c:v>
                </c:pt>
                <c:pt idx="50">
                  <c:v>9.9999999999999964</c:v>
                </c:pt>
                <c:pt idx="51">
                  <c:v>10.199999999999996</c:v>
                </c:pt>
                <c:pt idx="52">
                  <c:v>10.399999999999995</c:v>
                </c:pt>
                <c:pt idx="53">
                  <c:v>10.599999999999994</c:v>
                </c:pt>
                <c:pt idx="54">
                  <c:v>10.799999999999994</c:v>
                </c:pt>
                <c:pt idx="55">
                  <c:v>10.999999999999993</c:v>
                </c:pt>
                <c:pt idx="56">
                  <c:v>11.199999999999992</c:v>
                </c:pt>
                <c:pt idx="57">
                  <c:v>11.399999999999991</c:v>
                </c:pt>
                <c:pt idx="58">
                  <c:v>11.599999999999991</c:v>
                </c:pt>
                <c:pt idx="59">
                  <c:v>11.79999999999999</c:v>
                </c:pt>
                <c:pt idx="60">
                  <c:v>11.999999999999989</c:v>
                </c:pt>
                <c:pt idx="61">
                  <c:v>12.199999999999989</c:v>
                </c:pt>
                <c:pt idx="62">
                  <c:v>12.399999999999988</c:v>
                </c:pt>
                <c:pt idx="63">
                  <c:v>12.599999999999987</c:v>
                </c:pt>
                <c:pt idx="64">
                  <c:v>12.799999999999986</c:v>
                </c:pt>
                <c:pt idx="65">
                  <c:v>12.999999999999986</c:v>
                </c:pt>
                <c:pt idx="66">
                  <c:v>13.199999999999985</c:v>
                </c:pt>
                <c:pt idx="67">
                  <c:v>13.399999999999984</c:v>
                </c:pt>
                <c:pt idx="68">
                  <c:v>13.599999999999984</c:v>
                </c:pt>
                <c:pt idx="69">
                  <c:v>13.799999999999983</c:v>
                </c:pt>
                <c:pt idx="70">
                  <c:v>13.999999999999982</c:v>
                </c:pt>
                <c:pt idx="71">
                  <c:v>14.199999999999982</c:v>
                </c:pt>
                <c:pt idx="72">
                  <c:v>14.399999999999981</c:v>
                </c:pt>
                <c:pt idx="73">
                  <c:v>14.59999999999998</c:v>
                </c:pt>
                <c:pt idx="74">
                  <c:v>14.799999999999979</c:v>
                </c:pt>
                <c:pt idx="75">
                  <c:v>14.999999999999979</c:v>
                </c:pt>
                <c:pt idx="76">
                  <c:v>15.199999999999978</c:v>
                </c:pt>
                <c:pt idx="77">
                  <c:v>15.399999999999977</c:v>
                </c:pt>
                <c:pt idx="78">
                  <c:v>15.599999999999977</c:v>
                </c:pt>
                <c:pt idx="79">
                  <c:v>15.799999999999976</c:v>
                </c:pt>
                <c:pt idx="80">
                  <c:v>15.999999999999975</c:v>
                </c:pt>
                <c:pt idx="81">
                  <c:v>16.199999999999974</c:v>
                </c:pt>
                <c:pt idx="82">
                  <c:v>16.399999999999974</c:v>
                </c:pt>
                <c:pt idx="83">
                  <c:v>16.599999999999973</c:v>
                </c:pt>
                <c:pt idx="84">
                  <c:v>16.799999999999972</c:v>
                </c:pt>
                <c:pt idx="85">
                  <c:v>16.999999999999972</c:v>
                </c:pt>
                <c:pt idx="86">
                  <c:v>17.199999999999971</c:v>
                </c:pt>
                <c:pt idx="87">
                  <c:v>17.39999999999997</c:v>
                </c:pt>
                <c:pt idx="88">
                  <c:v>17.599999999999969</c:v>
                </c:pt>
                <c:pt idx="89">
                  <c:v>17.799999999999969</c:v>
                </c:pt>
                <c:pt idx="90">
                  <c:v>17.999999999999968</c:v>
                </c:pt>
                <c:pt idx="91">
                  <c:v>18.199999999999967</c:v>
                </c:pt>
                <c:pt idx="92">
                  <c:v>18.399999999999967</c:v>
                </c:pt>
                <c:pt idx="93">
                  <c:v>18.599999999999966</c:v>
                </c:pt>
                <c:pt idx="94">
                  <c:v>18.799999999999965</c:v>
                </c:pt>
                <c:pt idx="95">
                  <c:v>18.999999999999964</c:v>
                </c:pt>
                <c:pt idx="96">
                  <c:v>19.199999999999964</c:v>
                </c:pt>
                <c:pt idx="97">
                  <c:v>19.399999999999963</c:v>
                </c:pt>
                <c:pt idx="98">
                  <c:v>19.599999999999962</c:v>
                </c:pt>
                <c:pt idx="99">
                  <c:v>19.799999999999962</c:v>
                </c:pt>
                <c:pt idx="100">
                  <c:v>19.999999999999961</c:v>
                </c:pt>
                <c:pt idx="101">
                  <c:v>20.19999999999996</c:v>
                </c:pt>
                <c:pt idx="102">
                  <c:v>20.399999999999959</c:v>
                </c:pt>
                <c:pt idx="103">
                  <c:v>20.599999999999959</c:v>
                </c:pt>
                <c:pt idx="104">
                  <c:v>20.799999999999958</c:v>
                </c:pt>
                <c:pt idx="105">
                  <c:v>20.999999999999957</c:v>
                </c:pt>
                <c:pt idx="106">
                  <c:v>21.199999999999957</c:v>
                </c:pt>
                <c:pt idx="107">
                  <c:v>21.399999999999956</c:v>
                </c:pt>
                <c:pt idx="108">
                  <c:v>21.599999999999955</c:v>
                </c:pt>
                <c:pt idx="109">
                  <c:v>21.799999999999955</c:v>
                </c:pt>
                <c:pt idx="110">
                  <c:v>21.999999999999954</c:v>
                </c:pt>
                <c:pt idx="111">
                  <c:v>22.199999999999953</c:v>
                </c:pt>
                <c:pt idx="112">
                  <c:v>22.399999999999952</c:v>
                </c:pt>
                <c:pt idx="113">
                  <c:v>22.599999999999952</c:v>
                </c:pt>
                <c:pt idx="114">
                  <c:v>22.799999999999951</c:v>
                </c:pt>
                <c:pt idx="115">
                  <c:v>22.99999999999995</c:v>
                </c:pt>
                <c:pt idx="116">
                  <c:v>23.19999999999995</c:v>
                </c:pt>
                <c:pt idx="117">
                  <c:v>23.399999999999949</c:v>
                </c:pt>
                <c:pt idx="118">
                  <c:v>23.599999999999948</c:v>
                </c:pt>
                <c:pt idx="119">
                  <c:v>23.799999999999947</c:v>
                </c:pt>
                <c:pt idx="120">
                  <c:v>23.999999999999947</c:v>
                </c:pt>
                <c:pt idx="121">
                  <c:v>24.199999999999946</c:v>
                </c:pt>
                <c:pt idx="122">
                  <c:v>24.399999999999945</c:v>
                </c:pt>
                <c:pt idx="123">
                  <c:v>24.599999999999945</c:v>
                </c:pt>
                <c:pt idx="124">
                  <c:v>24.799999999999944</c:v>
                </c:pt>
                <c:pt idx="125">
                  <c:v>24.999999999999943</c:v>
                </c:pt>
                <c:pt idx="126">
                  <c:v>25.199999999999942</c:v>
                </c:pt>
                <c:pt idx="127">
                  <c:v>25.399999999999942</c:v>
                </c:pt>
                <c:pt idx="128">
                  <c:v>25.599999999999941</c:v>
                </c:pt>
                <c:pt idx="129">
                  <c:v>25.79999999999994</c:v>
                </c:pt>
                <c:pt idx="130">
                  <c:v>25.99999999999994</c:v>
                </c:pt>
                <c:pt idx="131">
                  <c:v>26.199999999999939</c:v>
                </c:pt>
                <c:pt idx="132">
                  <c:v>26.399999999999938</c:v>
                </c:pt>
                <c:pt idx="133">
                  <c:v>26.599999999999937</c:v>
                </c:pt>
                <c:pt idx="134">
                  <c:v>26.799999999999937</c:v>
                </c:pt>
                <c:pt idx="135">
                  <c:v>26.999999999999936</c:v>
                </c:pt>
                <c:pt idx="136">
                  <c:v>27.199999999999935</c:v>
                </c:pt>
                <c:pt idx="137">
                  <c:v>27.399999999999935</c:v>
                </c:pt>
                <c:pt idx="138">
                  <c:v>27.599999999999934</c:v>
                </c:pt>
                <c:pt idx="139">
                  <c:v>27.799999999999933</c:v>
                </c:pt>
                <c:pt idx="140">
                  <c:v>27.999999999999932</c:v>
                </c:pt>
                <c:pt idx="141">
                  <c:v>28.199999999999932</c:v>
                </c:pt>
                <c:pt idx="142">
                  <c:v>28.399999999999931</c:v>
                </c:pt>
                <c:pt idx="143">
                  <c:v>28.59999999999993</c:v>
                </c:pt>
                <c:pt idx="144">
                  <c:v>28.79999999999993</c:v>
                </c:pt>
                <c:pt idx="145">
                  <c:v>28.999999999999929</c:v>
                </c:pt>
                <c:pt idx="146">
                  <c:v>29.199999999999928</c:v>
                </c:pt>
                <c:pt idx="147">
                  <c:v>29.399999999999928</c:v>
                </c:pt>
                <c:pt idx="148">
                  <c:v>29.599999999999927</c:v>
                </c:pt>
                <c:pt idx="149">
                  <c:v>29.799999999999926</c:v>
                </c:pt>
                <c:pt idx="150">
                  <c:v>29.999999999999925</c:v>
                </c:pt>
                <c:pt idx="151">
                  <c:v>30.199999999999925</c:v>
                </c:pt>
                <c:pt idx="152">
                  <c:v>30.399999999999924</c:v>
                </c:pt>
                <c:pt idx="153">
                  <c:v>30.599999999999923</c:v>
                </c:pt>
                <c:pt idx="154">
                  <c:v>30.799999999999923</c:v>
                </c:pt>
                <c:pt idx="155">
                  <c:v>30.999999999999922</c:v>
                </c:pt>
                <c:pt idx="156">
                  <c:v>31.199999999999921</c:v>
                </c:pt>
                <c:pt idx="157">
                  <c:v>31.39999999999992</c:v>
                </c:pt>
                <c:pt idx="158">
                  <c:v>31.59999999999992</c:v>
                </c:pt>
                <c:pt idx="159">
                  <c:v>31.799999999999919</c:v>
                </c:pt>
                <c:pt idx="160">
                  <c:v>31.999999999999918</c:v>
                </c:pt>
                <c:pt idx="161">
                  <c:v>32.199999999999918</c:v>
                </c:pt>
                <c:pt idx="162">
                  <c:v>32.39999999999992</c:v>
                </c:pt>
                <c:pt idx="163">
                  <c:v>32.599999999999923</c:v>
                </c:pt>
                <c:pt idx="164">
                  <c:v>32.799999999999926</c:v>
                </c:pt>
                <c:pt idx="165">
                  <c:v>32.999999999999929</c:v>
                </c:pt>
                <c:pt idx="166">
                  <c:v>33.199999999999932</c:v>
                </c:pt>
                <c:pt idx="167">
                  <c:v>33.399999999999935</c:v>
                </c:pt>
                <c:pt idx="168">
                  <c:v>33.599999999999937</c:v>
                </c:pt>
                <c:pt idx="169">
                  <c:v>33.79999999999994</c:v>
                </c:pt>
                <c:pt idx="170">
                  <c:v>33.999999999999943</c:v>
                </c:pt>
                <c:pt idx="171">
                  <c:v>34.199999999999946</c:v>
                </c:pt>
                <c:pt idx="172">
                  <c:v>34.399999999999949</c:v>
                </c:pt>
                <c:pt idx="173">
                  <c:v>34.599999999999952</c:v>
                </c:pt>
                <c:pt idx="174">
                  <c:v>34.799999999999955</c:v>
                </c:pt>
                <c:pt idx="175">
                  <c:v>34.999999999999957</c:v>
                </c:pt>
                <c:pt idx="176">
                  <c:v>35.19999999999996</c:v>
                </c:pt>
                <c:pt idx="177">
                  <c:v>35.399999999999963</c:v>
                </c:pt>
                <c:pt idx="178">
                  <c:v>35.599999999999966</c:v>
                </c:pt>
                <c:pt idx="179">
                  <c:v>35.799999999999969</c:v>
                </c:pt>
                <c:pt idx="180">
                  <c:v>35.999999999999972</c:v>
                </c:pt>
                <c:pt idx="181">
                  <c:v>36.199999999999974</c:v>
                </c:pt>
                <c:pt idx="182">
                  <c:v>36.399999999999977</c:v>
                </c:pt>
                <c:pt idx="183">
                  <c:v>36.59999999999998</c:v>
                </c:pt>
                <c:pt idx="184">
                  <c:v>36.799999999999983</c:v>
                </c:pt>
                <c:pt idx="185">
                  <c:v>36.999999999999986</c:v>
                </c:pt>
                <c:pt idx="186">
                  <c:v>37.199999999999989</c:v>
                </c:pt>
                <c:pt idx="187">
                  <c:v>37.399999999999991</c:v>
                </c:pt>
                <c:pt idx="188">
                  <c:v>37.599999999999994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38.400000000000006</c:v>
                </c:pt>
                <c:pt idx="193">
                  <c:v>38.600000000000009</c:v>
                </c:pt>
                <c:pt idx="194">
                  <c:v>38.800000000000011</c:v>
                </c:pt>
                <c:pt idx="195">
                  <c:v>39.000000000000014</c:v>
                </c:pt>
                <c:pt idx="196">
                  <c:v>39.200000000000017</c:v>
                </c:pt>
                <c:pt idx="197">
                  <c:v>39.40000000000002</c:v>
                </c:pt>
                <c:pt idx="198">
                  <c:v>39.600000000000023</c:v>
                </c:pt>
                <c:pt idx="199">
                  <c:v>39.800000000000026</c:v>
                </c:pt>
                <c:pt idx="200">
                  <c:v>40.000000000000028</c:v>
                </c:pt>
                <c:pt idx="201">
                  <c:v>40.200000000000031</c:v>
                </c:pt>
                <c:pt idx="202">
                  <c:v>40.400000000000034</c:v>
                </c:pt>
                <c:pt idx="203">
                  <c:v>40.600000000000037</c:v>
                </c:pt>
                <c:pt idx="204">
                  <c:v>40.80000000000004</c:v>
                </c:pt>
                <c:pt idx="205">
                  <c:v>41.000000000000043</c:v>
                </c:pt>
                <c:pt idx="206">
                  <c:v>41.200000000000045</c:v>
                </c:pt>
                <c:pt idx="207">
                  <c:v>41.400000000000048</c:v>
                </c:pt>
                <c:pt idx="208">
                  <c:v>41.600000000000051</c:v>
                </c:pt>
                <c:pt idx="209">
                  <c:v>41.800000000000054</c:v>
                </c:pt>
                <c:pt idx="210">
                  <c:v>42.000000000000057</c:v>
                </c:pt>
                <c:pt idx="211">
                  <c:v>42.20000000000006</c:v>
                </c:pt>
                <c:pt idx="212">
                  <c:v>42.400000000000063</c:v>
                </c:pt>
                <c:pt idx="213">
                  <c:v>42.600000000000065</c:v>
                </c:pt>
                <c:pt idx="214">
                  <c:v>42.800000000000068</c:v>
                </c:pt>
                <c:pt idx="215">
                  <c:v>43.000000000000071</c:v>
                </c:pt>
                <c:pt idx="216">
                  <c:v>43.200000000000074</c:v>
                </c:pt>
                <c:pt idx="217">
                  <c:v>43.400000000000077</c:v>
                </c:pt>
                <c:pt idx="218">
                  <c:v>43.60000000000008</c:v>
                </c:pt>
                <c:pt idx="219">
                  <c:v>43.800000000000082</c:v>
                </c:pt>
                <c:pt idx="220">
                  <c:v>44.000000000000085</c:v>
                </c:pt>
                <c:pt idx="221">
                  <c:v>44.200000000000088</c:v>
                </c:pt>
                <c:pt idx="222">
                  <c:v>44.400000000000091</c:v>
                </c:pt>
                <c:pt idx="223">
                  <c:v>44.600000000000094</c:v>
                </c:pt>
                <c:pt idx="224">
                  <c:v>44.800000000000097</c:v>
                </c:pt>
                <c:pt idx="225">
                  <c:v>45.000000000000099</c:v>
                </c:pt>
                <c:pt idx="226">
                  <c:v>45.200000000000102</c:v>
                </c:pt>
                <c:pt idx="227">
                  <c:v>45.400000000000105</c:v>
                </c:pt>
                <c:pt idx="228">
                  <c:v>45.600000000000108</c:v>
                </c:pt>
                <c:pt idx="229">
                  <c:v>45.800000000000111</c:v>
                </c:pt>
                <c:pt idx="230">
                  <c:v>46.000000000000114</c:v>
                </c:pt>
                <c:pt idx="231">
                  <c:v>46.200000000000117</c:v>
                </c:pt>
                <c:pt idx="232">
                  <c:v>46.400000000000119</c:v>
                </c:pt>
                <c:pt idx="233">
                  <c:v>46.600000000000122</c:v>
                </c:pt>
                <c:pt idx="234">
                  <c:v>46.800000000000125</c:v>
                </c:pt>
                <c:pt idx="235">
                  <c:v>47.000000000000128</c:v>
                </c:pt>
                <c:pt idx="236">
                  <c:v>47.200000000000131</c:v>
                </c:pt>
                <c:pt idx="237">
                  <c:v>47.400000000000134</c:v>
                </c:pt>
                <c:pt idx="238">
                  <c:v>47.600000000000136</c:v>
                </c:pt>
                <c:pt idx="239">
                  <c:v>47.800000000000139</c:v>
                </c:pt>
                <c:pt idx="240">
                  <c:v>48.000000000000142</c:v>
                </c:pt>
                <c:pt idx="241">
                  <c:v>48.200000000000145</c:v>
                </c:pt>
                <c:pt idx="242">
                  <c:v>48.400000000000148</c:v>
                </c:pt>
                <c:pt idx="243">
                  <c:v>48.600000000000151</c:v>
                </c:pt>
                <c:pt idx="244">
                  <c:v>48.800000000000153</c:v>
                </c:pt>
                <c:pt idx="245">
                  <c:v>49.000000000000156</c:v>
                </c:pt>
                <c:pt idx="246">
                  <c:v>49.200000000000159</c:v>
                </c:pt>
                <c:pt idx="247">
                  <c:v>49.400000000000162</c:v>
                </c:pt>
                <c:pt idx="248">
                  <c:v>49.600000000000165</c:v>
                </c:pt>
                <c:pt idx="249">
                  <c:v>49.800000000000168</c:v>
                </c:pt>
                <c:pt idx="250">
                  <c:v>50.000000000000171</c:v>
                </c:pt>
                <c:pt idx="251">
                  <c:v>50.200000000000173</c:v>
                </c:pt>
                <c:pt idx="252">
                  <c:v>50.400000000000176</c:v>
                </c:pt>
                <c:pt idx="253">
                  <c:v>50.600000000000179</c:v>
                </c:pt>
                <c:pt idx="254">
                  <c:v>50.800000000000182</c:v>
                </c:pt>
                <c:pt idx="255">
                  <c:v>51.000000000000185</c:v>
                </c:pt>
                <c:pt idx="256">
                  <c:v>51.200000000000188</c:v>
                </c:pt>
                <c:pt idx="257">
                  <c:v>51.40000000000019</c:v>
                </c:pt>
                <c:pt idx="258">
                  <c:v>51.600000000000193</c:v>
                </c:pt>
                <c:pt idx="259">
                  <c:v>51.800000000000196</c:v>
                </c:pt>
                <c:pt idx="260">
                  <c:v>52.000000000000199</c:v>
                </c:pt>
                <c:pt idx="261">
                  <c:v>52.200000000000202</c:v>
                </c:pt>
                <c:pt idx="262">
                  <c:v>52.400000000000205</c:v>
                </c:pt>
                <c:pt idx="263">
                  <c:v>52.600000000000207</c:v>
                </c:pt>
                <c:pt idx="264">
                  <c:v>52.80000000000021</c:v>
                </c:pt>
                <c:pt idx="265">
                  <c:v>53.000000000000213</c:v>
                </c:pt>
                <c:pt idx="266">
                  <c:v>53.200000000000216</c:v>
                </c:pt>
                <c:pt idx="267">
                  <c:v>53.400000000000219</c:v>
                </c:pt>
                <c:pt idx="268">
                  <c:v>53.600000000000222</c:v>
                </c:pt>
                <c:pt idx="269">
                  <c:v>53.800000000000225</c:v>
                </c:pt>
                <c:pt idx="270">
                  <c:v>54.000000000000227</c:v>
                </c:pt>
                <c:pt idx="271">
                  <c:v>54.20000000000023</c:v>
                </c:pt>
                <c:pt idx="272">
                  <c:v>54.400000000000233</c:v>
                </c:pt>
                <c:pt idx="273">
                  <c:v>54.600000000000236</c:v>
                </c:pt>
                <c:pt idx="274">
                  <c:v>54.800000000000239</c:v>
                </c:pt>
                <c:pt idx="275">
                  <c:v>55.000000000000242</c:v>
                </c:pt>
                <c:pt idx="276">
                  <c:v>55.200000000000244</c:v>
                </c:pt>
                <c:pt idx="277">
                  <c:v>55.400000000000247</c:v>
                </c:pt>
                <c:pt idx="278">
                  <c:v>55.60000000000025</c:v>
                </c:pt>
                <c:pt idx="279">
                  <c:v>55.800000000000253</c:v>
                </c:pt>
                <c:pt idx="280">
                  <c:v>56.000000000000256</c:v>
                </c:pt>
                <c:pt idx="281">
                  <c:v>56.200000000000259</c:v>
                </c:pt>
                <c:pt idx="282">
                  <c:v>56.400000000000261</c:v>
                </c:pt>
                <c:pt idx="283">
                  <c:v>56.600000000000264</c:v>
                </c:pt>
                <c:pt idx="284">
                  <c:v>56.800000000000267</c:v>
                </c:pt>
                <c:pt idx="285">
                  <c:v>57.00000000000027</c:v>
                </c:pt>
                <c:pt idx="286">
                  <c:v>57.200000000000273</c:v>
                </c:pt>
                <c:pt idx="287">
                  <c:v>57.400000000000276</c:v>
                </c:pt>
                <c:pt idx="288">
                  <c:v>57.600000000000279</c:v>
                </c:pt>
                <c:pt idx="289">
                  <c:v>57.800000000000281</c:v>
                </c:pt>
                <c:pt idx="290">
                  <c:v>58.000000000000284</c:v>
                </c:pt>
                <c:pt idx="291">
                  <c:v>58.200000000000287</c:v>
                </c:pt>
                <c:pt idx="292">
                  <c:v>58.40000000000029</c:v>
                </c:pt>
                <c:pt idx="293">
                  <c:v>58.600000000000293</c:v>
                </c:pt>
                <c:pt idx="294">
                  <c:v>58.800000000000296</c:v>
                </c:pt>
                <c:pt idx="295">
                  <c:v>59.000000000000298</c:v>
                </c:pt>
                <c:pt idx="296">
                  <c:v>59.200000000000301</c:v>
                </c:pt>
                <c:pt idx="297">
                  <c:v>59.400000000000304</c:v>
                </c:pt>
                <c:pt idx="298">
                  <c:v>59.600000000000307</c:v>
                </c:pt>
                <c:pt idx="299">
                  <c:v>59.80000000000031</c:v>
                </c:pt>
                <c:pt idx="300">
                  <c:v>60.000000000000313</c:v>
                </c:pt>
                <c:pt idx="301">
                  <c:v>60.200000000000315</c:v>
                </c:pt>
                <c:pt idx="302">
                  <c:v>60.400000000000318</c:v>
                </c:pt>
                <c:pt idx="303">
                  <c:v>60.600000000000321</c:v>
                </c:pt>
                <c:pt idx="304">
                  <c:v>60.800000000000324</c:v>
                </c:pt>
                <c:pt idx="305">
                  <c:v>61.000000000000327</c:v>
                </c:pt>
                <c:pt idx="306">
                  <c:v>61.20000000000033</c:v>
                </c:pt>
                <c:pt idx="307">
                  <c:v>61.400000000000333</c:v>
                </c:pt>
                <c:pt idx="308">
                  <c:v>61.600000000000335</c:v>
                </c:pt>
                <c:pt idx="309">
                  <c:v>61.800000000000338</c:v>
                </c:pt>
                <c:pt idx="310">
                  <c:v>62.000000000000341</c:v>
                </c:pt>
                <c:pt idx="311">
                  <c:v>62.200000000000344</c:v>
                </c:pt>
                <c:pt idx="312">
                  <c:v>62.400000000000347</c:v>
                </c:pt>
                <c:pt idx="313">
                  <c:v>62.60000000000035</c:v>
                </c:pt>
                <c:pt idx="314">
                  <c:v>62.800000000000352</c:v>
                </c:pt>
                <c:pt idx="315">
                  <c:v>63.000000000000355</c:v>
                </c:pt>
                <c:pt idx="316">
                  <c:v>63.200000000000358</c:v>
                </c:pt>
                <c:pt idx="317">
                  <c:v>63.400000000000361</c:v>
                </c:pt>
                <c:pt idx="318">
                  <c:v>63.600000000000364</c:v>
                </c:pt>
                <c:pt idx="319">
                  <c:v>63.800000000000367</c:v>
                </c:pt>
                <c:pt idx="320">
                  <c:v>64.000000000000369</c:v>
                </c:pt>
                <c:pt idx="321">
                  <c:v>64.200000000000372</c:v>
                </c:pt>
                <c:pt idx="322">
                  <c:v>64.400000000000375</c:v>
                </c:pt>
                <c:pt idx="323">
                  <c:v>64.600000000000378</c:v>
                </c:pt>
                <c:pt idx="324">
                  <c:v>64.800000000000381</c:v>
                </c:pt>
                <c:pt idx="325">
                  <c:v>65.000000000000384</c:v>
                </c:pt>
                <c:pt idx="326">
                  <c:v>65.200000000000387</c:v>
                </c:pt>
                <c:pt idx="327">
                  <c:v>65.400000000000389</c:v>
                </c:pt>
                <c:pt idx="328">
                  <c:v>65.600000000000392</c:v>
                </c:pt>
                <c:pt idx="329">
                  <c:v>65.800000000000395</c:v>
                </c:pt>
                <c:pt idx="330">
                  <c:v>66.000000000000398</c:v>
                </c:pt>
                <c:pt idx="331">
                  <c:v>66.200000000000401</c:v>
                </c:pt>
                <c:pt idx="332">
                  <c:v>66.400000000000404</c:v>
                </c:pt>
                <c:pt idx="333">
                  <c:v>66.600000000000406</c:v>
                </c:pt>
                <c:pt idx="334">
                  <c:v>66.800000000000409</c:v>
                </c:pt>
                <c:pt idx="335">
                  <c:v>67.000000000000412</c:v>
                </c:pt>
                <c:pt idx="336">
                  <c:v>67.200000000000415</c:v>
                </c:pt>
                <c:pt idx="337">
                  <c:v>67.400000000000418</c:v>
                </c:pt>
                <c:pt idx="338">
                  <c:v>67.600000000000421</c:v>
                </c:pt>
                <c:pt idx="339">
                  <c:v>67.800000000000423</c:v>
                </c:pt>
                <c:pt idx="340">
                  <c:v>68.000000000000426</c:v>
                </c:pt>
                <c:pt idx="341">
                  <c:v>68.200000000000429</c:v>
                </c:pt>
                <c:pt idx="342">
                  <c:v>68.400000000000432</c:v>
                </c:pt>
                <c:pt idx="343">
                  <c:v>68.600000000000435</c:v>
                </c:pt>
                <c:pt idx="344">
                  <c:v>68.800000000000438</c:v>
                </c:pt>
                <c:pt idx="345">
                  <c:v>69.000000000000441</c:v>
                </c:pt>
                <c:pt idx="346">
                  <c:v>69.200000000000443</c:v>
                </c:pt>
                <c:pt idx="347">
                  <c:v>69.400000000000446</c:v>
                </c:pt>
                <c:pt idx="348">
                  <c:v>69.600000000000449</c:v>
                </c:pt>
                <c:pt idx="349">
                  <c:v>69.800000000000452</c:v>
                </c:pt>
                <c:pt idx="350">
                  <c:v>70.000000000000455</c:v>
                </c:pt>
                <c:pt idx="351">
                  <c:v>70.200000000000458</c:v>
                </c:pt>
                <c:pt idx="352">
                  <c:v>70.40000000000046</c:v>
                </c:pt>
                <c:pt idx="353">
                  <c:v>70.600000000000463</c:v>
                </c:pt>
                <c:pt idx="354">
                  <c:v>70.800000000000466</c:v>
                </c:pt>
                <c:pt idx="355">
                  <c:v>71.000000000000469</c:v>
                </c:pt>
                <c:pt idx="356">
                  <c:v>71.200000000000472</c:v>
                </c:pt>
                <c:pt idx="357">
                  <c:v>71.400000000000475</c:v>
                </c:pt>
                <c:pt idx="358">
                  <c:v>71.600000000000477</c:v>
                </c:pt>
                <c:pt idx="359">
                  <c:v>71.80000000000048</c:v>
                </c:pt>
                <c:pt idx="360">
                  <c:v>72.000000000000483</c:v>
                </c:pt>
                <c:pt idx="361">
                  <c:v>72.200000000000486</c:v>
                </c:pt>
                <c:pt idx="362">
                  <c:v>72.400000000000489</c:v>
                </c:pt>
                <c:pt idx="363">
                  <c:v>72.600000000000492</c:v>
                </c:pt>
                <c:pt idx="364">
                  <c:v>72.800000000000495</c:v>
                </c:pt>
                <c:pt idx="365">
                  <c:v>73.000000000000497</c:v>
                </c:pt>
                <c:pt idx="366">
                  <c:v>73.2000000000005</c:v>
                </c:pt>
                <c:pt idx="367">
                  <c:v>73.400000000000503</c:v>
                </c:pt>
                <c:pt idx="368">
                  <c:v>73.600000000000506</c:v>
                </c:pt>
                <c:pt idx="369">
                  <c:v>73.800000000000509</c:v>
                </c:pt>
                <c:pt idx="370">
                  <c:v>74.000000000000512</c:v>
                </c:pt>
                <c:pt idx="371">
                  <c:v>74.200000000000514</c:v>
                </c:pt>
                <c:pt idx="372">
                  <c:v>74.400000000000517</c:v>
                </c:pt>
                <c:pt idx="373">
                  <c:v>74.60000000000052</c:v>
                </c:pt>
                <c:pt idx="374">
                  <c:v>74.800000000000523</c:v>
                </c:pt>
                <c:pt idx="375">
                  <c:v>75.000000000000526</c:v>
                </c:pt>
                <c:pt idx="376">
                  <c:v>75.200000000000529</c:v>
                </c:pt>
                <c:pt idx="377">
                  <c:v>75.400000000000531</c:v>
                </c:pt>
                <c:pt idx="378">
                  <c:v>75.600000000000534</c:v>
                </c:pt>
                <c:pt idx="379">
                  <c:v>75.800000000000537</c:v>
                </c:pt>
                <c:pt idx="380">
                  <c:v>76.00000000000054</c:v>
                </c:pt>
                <c:pt idx="381">
                  <c:v>76.200000000000543</c:v>
                </c:pt>
                <c:pt idx="382">
                  <c:v>76.400000000000546</c:v>
                </c:pt>
                <c:pt idx="383">
                  <c:v>76.600000000000549</c:v>
                </c:pt>
                <c:pt idx="384">
                  <c:v>76.800000000000551</c:v>
                </c:pt>
                <c:pt idx="385">
                  <c:v>77.000000000000554</c:v>
                </c:pt>
                <c:pt idx="386">
                  <c:v>77.200000000000557</c:v>
                </c:pt>
                <c:pt idx="387">
                  <c:v>77.40000000000056</c:v>
                </c:pt>
                <c:pt idx="388">
                  <c:v>77.600000000000563</c:v>
                </c:pt>
                <c:pt idx="389">
                  <c:v>77.800000000000566</c:v>
                </c:pt>
                <c:pt idx="390">
                  <c:v>78.000000000000568</c:v>
                </c:pt>
                <c:pt idx="391">
                  <c:v>78.200000000000571</c:v>
                </c:pt>
                <c:pt idx="392">
                  <c:v>78.400000000000574</c:v>
                </c:pt>
                <c:pt idx="393">
                  <c:v>78.600000000000577</c:v>
                </c:pt>
                <c:pt idx="394">
                  <c:v>78.80000000000058</c:v>
                </c:pt>
                <c:pt idx="395">
                  <c:v>79.000000000000583</c:v>
                </c:pt>
                <c:pt idx="396">
                  <c:v>79.200000000000585</c:v>
                </c:pt>
                <c:pt idx="397">
                  <c:v>79.400000000000588</c:v>
                </c:pt>
                <c:pt idx="398">
                  <c:v>79.600000000000591</c:v>
                </c:pt>
                <c:pt idx="399">
                  <c:v>79.800000000000594</c:v>
                </c:pt>
                <c:pt idx="400">
                  <c:v>80.000000000000597</c:v>
                </c:pt>
                <c:pt idx="401">
                  <c:v>80.2000000000006</c:v>
                </c:pt>
                <c:pt idx="402">
                  <c:v>80.400000000000603</c:v>
                </c:pt>
                <c:pt idx="403">
                  <c:v>80.600000000000605</c:v>
                </c:pt>
                <c:pt idx="404">
                  <c:v>80.800000000000608</c:v>
                </c:pt>
                <c:pt idx="405">
                  <c:v>81.000000000000611</c:v>
                </c:pt>
                <c:pt idx="406">
                  <c:v>81.200000000000614</c:v>
                </c:pt>
                <c:pt idx="407">
                  <c:v>81.400000000000617</c:v>
                </c:pt>
                <c:pt idx="408">
                  <c:v>81.60000000000062</c:v>
                </c:pt>
                <c:pt idx="409">
                  <c:v>81.800000000000622</c:v>
                </c:pt>
                <c:pt idx="410">
                  <c:v>82.000000000000625</c:v>
                </c:pt>
                <c:pt idx="411">
                  <c:v>82.200000000000628</c:v>
                </c:pt>
                <c:pt idx="412">
                  <c:v>82.400000000000631</c:v>
                </c:pt>
                <c:pt idx="413">
                  <c:v>82.600000000000634</c:v>
                </c:pt>
                <c:pt idx="414">
                  <c:v>82.800000000000637</c:v>
                </c:pt>
                <c:pt idx="415">
                  <c:v>83.000000000000639</c:v>
                </c:pt>
                <c:pt idx="416">
                  <c:v>83.200000000000642</c:v>
                </c:pt>
                <c:pt idx="417">
                  <c:v>83.400000000000645</c:v>
                </c:pt>
                <c:pt idx="418">
                  <c:v>83.600000000000648</c:v>
                </c:pt>
                <c:pt idx="419">
                  <c:v>83.800000000000651</c:v>
                </c:pt>
                <c:pt idx="420">
                  <c:v>84.000000000000654</c:v>
                </c:pt>
                <c:pt idx="421">
                  <c:v>84.200000000000657</c:v>
                </c:pt>
                <c:pt idx="422">
                  <c:v>84.400000000000659</c:v>
                </c:pt>
                <c:pt idx="423">
                  <c:v>84.600000000000662</c:v>
                </c:pt>
                <c:pt idx="424">
                  <c:v>84.800000000000665</c:v>
                </c:pt>
                <c:pt idx="425">
                  <c:v>85.000000000000668</c:v>
                </c:pt>
                <c:pt idx="426">
                  <c:v>85.200000000000671</c:v>
                </c:pt>
                <c:pt idx="427">
                  <c:v>85.400000000000674</c:v>
                </c:pt>
                <c:pt idx="428">
                  <c:v>85.600000000000676</c:v>
                </c:pt>
                <c:pt idx="429">
                  <c:v>85.800000000000679</c:v>
                </c:pt>
                <c:pt idx="430">
                  <c:v>86.000000000000682</c:v>
                </c:pt>
                <c:pt idx="431">
                  <c:v>86.200000000000685</c:v>
                </c:pt>
                <c:pt idx="432">
                  <c:v>86.400000000000688</c:v>
                </c:pt>
                <c:pt idx="433">
                  <c:v>86.600000000000691</c:v>
                </c:pt>
                <c:pt idx="434">
                  <c:v>86.800000000000693</c:v>
                </c:pt>
                <c:pt idx="435">
                  <c:v>87.000000000000696</c:v>
                </c:pt>
                <c:pt idx="436">
                  <c:v>87.200000000000699</c:v>
                </c:pt>
                <c:pt idx="437">
                  <c:v>87.400000000000702</c:v>
                </c:pt>
                <c:pt idx="438">
                  <c:v>87.600000000000705</c:v>
                </c:pt>
                <c:pt idx="439">
                  <c:v>87.800000000000708</c:v>
                </c:pt>
                <c:pt idx="440">
                  <c:v>88.000000000000711</c:v>
                </c:pt>
                <c:pt idx="441">
                  <c:v>88.200000000000713</c:v>
                </c:pt>
                <c:pt idx="442">
                  <c:v>88.400000000000716</c:v>
                </c:pt>
                <c:pt idx="443">
                  <c:v>88.600000000000719</c:v>
                </c:pt>
                <c:pt idx="444">
                  <c:v>88.800000000000722</c:v>
                </c:pt>
                <c:pt idx="445">
                  <c:v>89.000000000000725</c:v>
                </c:pt>
                <c:pt idx="446">
                  <c:v>89.200000000000728</c:v>
                </c:pt>
                <c:pt idx="447">
                  <c:v>89.40000000000073</c:v>
                </c:pt>
                <c:pt idx="448">
                  <c:v>89.600000000000733</c:v>
                </c:pt>
                <c:pt idx="449">
                  <c:v>89.800000000000736</c:v>
                </c:pt>
                <c:pt idx="450">
                  <c:v>90.000000000000739</c:v>
                </c:pt>
                <c:pt idx="451">
                  <c:v>90.200000000000742</c:v>
                </c:pt>
                <c:pt idx="452">
                  <c:v>90.400000000000745</c:v>
                </c:pt>
                <c:pt idx="453">
                  <c:v>90.600000000000747</c:v>
                </c:pt>
                <c:pt idx="454">
                  <c:v>90.80000000000075</c:v>
                </c:pt>
                <c:pt idx="455">
                  <c:v>91.000000000000753</c:v>
                </c:pt>
                <c:pt idx="456">
                  <c:v>91.200000000000756</c:v>
                </c:pt>
                <c:pt idx="457">
                  <c:v>91.400000000000759</c:v>
                </c:pt>
                <c:pt idx="458">
                  <c:v>91.600000000000762</c:v>
                </c:pt>
                <c:pt idx="459">
                  <c:v>91.800000000000765</c:v>
                </c:pt>
                <c:pt idx="460">
                  <c:v>92.000000000000767</c:v>
                </c:pt>
                <c:pt idx="461">
                  <c:v>92.20000000000077</c:v>
                </c:pt>
                <c:pt idx="462">
                  <c:v>92.400000000000773</c:v>
                </c:pt>
                <c:pt idx="463">
                  <c:v>92.600000000000776</c:v>
                </c:pt>
                <c:pt idx="464">
                  <c:v>92.800000000000779</c:v>
                </c:pt>
                <c:pt idx="465">
                  <c:v>93.000000000000782</c:v>
                </c:pt>
                <c:pt idx="466">
                  <c:v>93.200000000000784</c:v>
                </c:pt>
                <c:pt idx="467">
                  <c:v>93.400000000000787</c:v>
                </c:pt>
                <c:pt idx="468">
                  <c:v>93.60000000000079</c:v>
                </c:pt>
                <c:pt idx="469">
                  <c:v>93.800000000000793</c:v>
                </c:pt>
                <c:pt idx="470">
                  <c:v>94.000000000000796</c:v>
                </c:pt>
                <c:pt idx="471">
                  <c:v>94.200000000000799</c:v>
                </c:pt>
                <c:pt idx="472">
                  <c:v>94.400000000000801</c:v>
                </c:pt>
                <c:pt idx="473">
                  <c:v>94.600000000000804</c:v>
                </c:pt>
                <c:pt idx="474">
                  <c:v>94.800000000000807</c:v>
                </c:pt>
                <c:pt idx="475">
                  <c:v>95.00000000000081</c:v>
                </c:pt>
                <c:pt idx="476">
                  <c:v>95.200000000000813</c:v>
                </c:pt>
                <c:pt idx="477">
                  <c:v>95.400000000000816</c:v>
                </c:pt>
                <c:pt idx="478">
                  <c:v>95.600000000000819</c:v>
                </c:pt>
                <c:pt idx="479">
                  <c:v>95.800000000000821</c:v>
                </c:pt>
                <c:pt idx="480">
                  <c:v>96.000000000000824</c:v>
                </c:pt>
                <c:pt idx="481">
                  <c:v>96.200000000000827</c:v>
                </c:pt>
                <c:pt idx="482">
                  <c:v>96.40000000000083</c:v>
                </c:pt>
                <c:pt idx="483">
                  <c:v>96.600000000000833</c:v>
                </c:pt>
                <c:pt idx="484">
                  <c:v>96.800000000000836</c:v>
                </c:pt>
                <c:pt idx="485">
                  <c:v>97.000000000000838</c:v>
                </c:pt>
                <c:pt idx="486">
                  <c:v>97.200000000000841</c:v>
                </c:pt>
                <c:pt idx="487">
                  <c:v>97.400000000000844</c:v>
                </c:pt>
                <c:pt idx="488">
                  <c:v>97.600000000000847</c:v>
                </c:pt>
                <c:pt idx="489">
                  <c:v>97.80000000000085</c:v>
                </c:pt>
                <c:pt idx="490">
                  <c:v>98.000000000000853</c:v>
                </c:pt>
                <c:pt idx="491">
                  <c:v>98.200000000000855</c:v>
                </c:pt>
                <c:pt idx="492">
                  <c:v>98.400000000000858</c:v>
                </c:pt>
                <c:pt idx="493">
                  <c:v>98.600000000000861</c:v>
                </c:pt>
                <c:pt idx="494">
                  <c:v>98.800000000000864</c:v>
                </c:pt>
                <c:pt idx="495">
                  <c:v>99.000000000000867</c:v>
                </c:pt>
                <c:pt idx="496">
                  <c:v>99.20000000000087</c:v>
                </c:pt>
                <c:pt idx="497">
                  <c:v>99.400000000000873</c:v>
                </c:pt>
                <c:pt idx="498">
                  <c:v>99.600000000000875</c:v>
                </c:pt>
                <c:pt idx="499">
                  <c:v>99.800000000000878</c:v>
                </c:pt>
                <c:pt idx="500">
                  <c:v>100.00000000000088</c:v>
                </c:pt>
                <c:pt idx="501">
                  <c:v>100.20000000000088</c:v>
                </c:pt>
                <c:pt idx="502">
                  <c:v>100.40000000000089</c:v>
                </c:pt>
                <c:pt idx="503">
                  <c:v>100.60000000000089</c:v>
                </c:pt>
                <c:pt idx="504">
                  <c:v>100.80000000000089</c:v>
                </c:pt>
                <c:pt idx="505">
                  <c:v>101.0000000000009</c:v>
                </c:pt>
                <c:pt idx="506">
                  <c:v>101.2000000000009</c:v>
                </c:pt>
                <c:pt idx="507">
                  <c:v>101.4000000000009</c:v>
                </c:pt>
                <c:pt idx="508">
                  <c:v>101.6000000000009</c:v>
                </c:pt>
                <c:pt idx="509">
                  <c:v>101.80000000000091</c:v>
                </c:pt>
                <c:pt idx="510">
                  <c:v>102.00000000000091</c:v>
                </c:pt>
                <c:pt idx="511">
                  <c:v>102.20000000000091</c:v>
                </c:pt>
                <c:pt idx="512">
                  <c:v>102.40000000000092</c:v>
                </c:pt>
                <c:pt idx="513">
                  <c:v>102.60000000000092</c:v>
                </c:pt>
                <c:pt idx="514">
                  <c:v>102.80000000000092</c:v>
                </c:pt>
                <c:pt idx="515">
                  <c:v>103.00000000000092</c:v>
                </c:pt>
                <c:pt idx="516">
                  <c:v>103.20000000000093</c:v>
                </c:pt>
                <c:pt idx="517">
                  <c:v>103.40000000000093</c:v>
                </c:pt>
                <c:pt idx="518">
                  <c:v>103.60000000000093</c:v>
                </c:pt>
                <c:pt idx="519">
                  <c:v>103.80000000000094</c:v>
                </c:pt>
                <c:pt idx="520">
                  <c:v>104.00000000000094</c:v>
                </c:pt>
                <c:pt idx="521">
                  <c:v>104.20000000000094</c:v>
                </c:pt>
                <c:pt idx="522">
                  <c:v>104.40000000000094</c:v>
                </c:pt>
                <c:pt idx="523">
                  <c:v>104.60000000000095</c:v>
                </c:pt>
                <c:pt idx="524">
                  <c:v>104.80000000000095</c:v>
                </c:pt>
                <c:pt idx="525">
                  <c:v>105.00000000000095</c:v>
                </c:pt>
                <c:pt idx="526">
                  <c:v>105.20000000000095</c:v>
                </c:pt>
                <c:pt idx="527">
                  <c:v>105.40000000000096</c:v>
                </c:pt>
                <c:pt idx="528">
                  <c:v>105.60000000000096</c:v>
                </c:pt>
                <c:pt idx="529">
                  <c:v>105.80000000000096</c:v>
                </c:pt>
                <c:pt idx="530">
                  <c:v>106.00000000000097</c:v>
                </c:pt>
                <c:pt idx="531">
                  <c:v>106.20000000000097</c:v>
                </c:pt>
                <c:pt idx="532">
                  <c:v>106.40000000000097</c:v>
                </c:pt>
                <c:pt idx="533">
                  <c:v>106.60000000000097</c:v>
                </c:pt>
                <c:pt idx="534">
                  <c:v>106.80000000000098</c:v>
                </c:pt>
                <c:pt idx="535">
                  <c:v>107.00000000000098</c:v>
                </c:pt>
                <c:pt idx="536">
                  <c:v>107.20000000000098</c:v>
                </c:pt>
                <c:pt idx="537">
                  <c:v>107.40000000000099</c:v>
                </c:pt>
                <c:pt idx="538">
                  <c:v>107.60000000000099</c:v>
                </c:pt>
                <c:pt idx="539">
                  <c:v>107.80000000000099</c:v>
                </c:pt>
                <c:pt idx="540">
                  <c:v>108.00000000000099</c:v>
                </c:pt>
                <c:pt idx="541">
                  <c:v>108.200000000001</c:v>
                </c:pt>
                <c:pt idx="542">
                  <c:v>108.400000000001</c:v>
                </c:pt>
                <c:pt idx="543">
                  <c:v>108.600000000001</c:v>
                </c:pt>
                <c:pt idx="544">
                  <c:v>108.80000000000101</c:v>
                </c:pt>
                <c:pt idx="545">
                  <c:v>109.00000000000101</c:v>
                </c:pt>
                <c:pt idx="546">
                  <c:v>109.20000000000101</c:v>
                </c:pt>
                <c:pt idx="547">
                  <c:v>109.40000000000101</c:v>
                </c:pt>
                <c:pt idx="548">
                  <c:v>109.60000000000102</c:v>
                </c:pt>
                <c:pt idx="549">
                  <c:v>109.80000000000102</c:v>
                </c:pt>
                <c:pt idx="550">
                  <c:v>110.00000000000102</c:v>
                </c:pt>
                <c:pt idx="551">
                  <c:v>110.20000000000103</c:v>
                </c:pt>
                <c:pt idx="552">
                  <c:v>110.40000000000103</c:v>
                </c:pt>
                <c:pt idx="553">
                  <c:v>110.60000000000103</c:v>
                </c:pt>
                <c:pt idx="554">
                  <c:v>110.80000000000103</c:v>
                </c:pt>
                <c:pt idx="555">
                  <c:v>111.00000000000104</c:v>
                </c:pt>
                <c:pt idx="556">
                  <c:v>111.20000000000104</c:v>
                </c:pt>
                <c:pt idx="557">
                  <c:v>111.40000000000104</c:v>
                </c:pt>
                <c:pt idx="558">
                  <c:v>111.60000000000105</c:v>
                </c:pt>
                <c:pt idx="559">
                  <c:v>111.80000000000105</c:v>
                </c:pt>
                <c:pt idx="560">
                  <c:v>112.00000000000105</c:v>
                </c:pt>
                <c:pt idx="561">
                  <c:v>112.20000000000105</c:v>
                </c:pt>
                <c:pt idx="562">
                  <c:v>112.40000000000106</c:v>
                </c:pt>
                <c:pt idx="563">
                  <c:v>112.60000000000106</c:v>
                </c:pt>
                <c:pt idx="564">
                  <c:v>112.80000000000106</c:v>
                </c:pt>
                <c:pt idx="565">
                  <c:v>113.00000000000107</c:v>
                </c:pt>
                <c:pt idx="566">
                  <c:v>113.20000000000107</c:v>
                </c:pt>
                <c:pt idx="567">
                  <c:v>113.40000000000107</c:v>
                </c:pt>
                <c:pt idx="568">
                  <c:v>113.60000000000107</c:v>
                </c:pt>
                <c:pt idx="569">
                  <c:v>113.80000000000108</c:v>
                </c:pt>
                <c:pt idx="570">
                  <c:v>114.00000000000108</c:v>
                </c:pt>
                <c:pt idx="571">
                  <c:v>114.20000000000108</c:v>
                </c:pt>
                <c:pt idx="572">
                  <c:v>114.40000000000109</c:v>
                </c:pt>
                <c:pt idx="573">
                  <c:v>114.60000000000109</c:v>
                </c:pt>
                <c:pt idx="574">
                  <c:v>114.80000000000109</c:v>
                </c:pt>
                <c:pt idx="575">
                  <c:v>115.00000000000109</c:v>
                </c:pt>
                <c:pt idx="576">
                  <c:v>115.2000000000011</c:v>
                </c:pt>
                <c:pt idx="577">
                  <c:v>115.4000000000011</c:v>
                </c:pt>
                <c:pt idx="578">
                  <c:v>115.6000000000011</c:v>
                </c:pt>
                <c:pt idx="579">
                  <c:v>115.80000000000111</c:v>
                </c:pt>
                <c:pt idx="580">
                  <c:v>116.00000000000111</c:v>
                </c:pt>
                <c:pt idx="581">
                  <c:v>116.20000000000111</c:v>
                </c:pt>
                <c:pt idx="582">
                  <c:v>116.40000000000111</c:v>
                </c:pt>
                <c:pt idx="583">
                  <c:v>116.60000000000112</c:v>
                </c:pt>
                <c:pt idx="584">
                  <c:v>116.80000000000112</c:v>
                </c:pt>
                <c:pt idx="585">
                  <c:v>117.00000000000112</c:v>
                </c:pt>
                <c:pt idx="586">
                  <c:v>117.20000000000113</c:v>
                </c:pt>
                <c:pt idx="587">
                  <c:v>117.40000000000113</c:v>
                </c:pt>
                <c:pt idx="588">
                  <c:v>117.60000000000113</c:v>
                </c:pt>
                <c:pt idx="589">
                  <c:v>117.80000000000113</c:v>
                </c:pt>
                <c:pt idx="590">
                  <c:v>118.00000000000114</c:v>
                </c:pt>
                <c:pt idx="591">
                  <c:v>118.20000000000114</c:v>
                </c:pt>
                <c:pt idx="592">
                  <c:v>118.40000000000114</c:v>
                </c:pt>
                <c:pt idx="593">
                  <c:v>118.60000000000115</c:v>
                </c:pt>
                <c:pt idx="594">
                  <c:v>118.80000000000115</c:v>
                </c:pt>
                <c:pt idx="595">
                  <c:v>119.00000000000115</c:v>
                </c:pt>
                <c:pt idx="596">
                  <c:v>119.20000000000115</c:v>
                </c:pt>
                <c:pt idx="597">
                  <c:v>119.40000000000116</c:v>
                </c:pt>
                <c:pt idx="598">
                  <c:v>119.60000000000116</c:v>
                </c:pt>
                <c:pt idx="599">
                  <c:v>119.80000000000116</c:v>
                </c:pt>
                <c:pt idx="600">
                  <c:v>120.00000000000117</c:v>
                </c:pt>
                <c:pt idx="601">
                  <c:v>120.20000000000117</c:v>
                </c:pt>
                <c:pt idx="602">
                  <c:v>120.40000000000117</c:v>
                </c:pt>
                <c:pt idx="603">
                  <c:v>120.60000000000117</c:v>
                </c:pt>
                <c:pt idx="604">
                  <c:v>120.80000000000118</c:v>
                </c:pt>
                <c:pt idx="605">
                  <c:v>121.00000000000118</c:v>
                </c:pt>
                <c:pt idx="606">
                  <c:v>121.20000000000118</c:v>
                </c:pt>
                <c:pt idx="607">
                  <c:v>121.40000000000119</c:v>
                </c:pt>
                <c:pt idx="608">
                  <c:v>121.60000000000119</c:v>
                </c:pt>
                <c:pt idx="609">
                  <c:v>121.80000000000119</c:v>
                </c:pt>
                <c:pt idx="610">
                  <c:v>122.00000000000119</c:v>
                </c:pt>
                <c:pt idx="611">
                  <c:v>122.2000000000012</c:v>
                </c:pt>
                <c:pt idx="612">
                  <c:v>122.4000000000012</c:v>
                </c:pt>
                <c:pt idx="613">
                  <c:v>122.6000000000012</c:v>
                </c:pt>
                <c:pt idx="614">
                  <c:v>122.80000000000121</c:v>
                </c:pt>
                <c:pt idx="615">
                  <c:v>123.00000000000121</c:v>
                </c:pt>
                <c:pt idx="616">
                  <c:v>123.20000000000121</c:v>
                </c:pt>
                <c:pt idx="617">
                  <c:v>123.40000000000121</c:v>
                </c:pt>
                <c:pt idx="618">
                  <c:v>123.60000000000122</c:v>
                </c:pt>
                <c:pt idx="619">
                  <c:v>123.80000000000122</c:v>
                </c:pt>
                <c:pt idx="620">
                  <c:v>124.00000000000122</c:v>
                </c:pt>
                <c:pt idx="621">
                  <c:v>124.20000000000122</c:v>
                </c:pt>
                <c:pt idx="622">
                  <c:v>124.40000000000123</c:v>
                </c:pt>
                <c:pt idx="623">
                  <c:v>124.60000000000123</c:v>
                </c:pt>
                <c:pt idx="624">
                  <c:v>124.80000000000123</c:v>
                </c:pt>
                <c:pt idx="625">
                  <c:v>125.00000000000124</c:v>
                </c:pt>
                <c:pt idx="626">
                  <c:v>125.20000000000124</c:v>
                </c:pt>
                <c:pt idx="627">
                  <c:v>125.40000000000124</c:v>
                </c:pt>
                <c:pt idx="628">
                  <c:v>125.60000000000124</c:v>
                </c:pt>
                <c:pt idx="629">
                  <c:v>125.80000000000125</c:v>
                </c:pt>
                <c:pt idx="630">
                  <c:v>126.00000000000125</c:v>
                </c:pt>
                <c:pt idx="631">
                  <c:v>126.20000000000125</c:v>
                </c:pt>
                <c:pt idx="632">
                  <c:v>126.40000000000126</c:v>
                </c:pt>
                <c:pt idx="633">
                  <c:v>126.60000000000126</c:v>
                </c:pt>
                <c:pt idx="634">
                  <c:v>126.80000000000126</c:v>
                </c:pt>
                <c:pt idx="635">
                  <c:v>127.00000000000126</c:v>
                </c:pt>
                <c:pt idx="636">
                  <c:v>127.20000000000127</c:v>
                </c:pt>
                <c:pt idx="637">
                  <c:v>127.40000000000127</c:v>
                </c:pt>
                <c:pt idx="638">
                  <c:v>127.60000000000127</c:v>
                </c:pt>
                <c:pt idx="639">
                  <c:v>127.80000000000128</c:v>
                </c:pt>
                <c:pt idx="640">
                  <c:v>128.00000000000128</c:v>
                </c:pt>
                <c:pt idx="641">
                  <c:v>128.20000000000127</c:v>
                </c:pt>
                <c:pt idx="642">
                  <c:v>128.40000000000126</c:v>
                </c:pt>
                <c:pt idx="643">
                  <c:v>128.60000000000124</c:v>
                </c:pt>
                <c:pt idx="644">
                  <c:v>128.80000000000123</c:v>
                </c:pt>
                <c:pt idx="645">
                  <c:v>129.00000000000122</c:v>
                </c:pt>
                <c:pt idx="646">
                  <c:v>129.20000000000121</c:v>
                </c:pt>
                <c:pt idx="647">
                  <c:v>129.4000000000012</c:v>
                </c:pt>
                <c:pt idx="648">
                  <c:v>129.60000000000119</c:v>
                </c:pt>
                <c:pt idx="649">
                  <c:v>129.80000000000118</c:v>
                </c:pt>
                <c:pt idx="650">
                  <c:v>130.00000000000117</c:v>
                </c:pt>
                <c:pt idx="651">
                  <c:v>130.20000000000115</c:v>
                </c:pt>
                <c:pt idx="652">
                  <c:v>130.40000000000114</c:v>
                </c:pt>
                <c:pt idx="653">
                  <c:v>130.60000000000113</c:v>
                </c:pt>
                <c:pt idx="654">
                  <c:v>130.80000000000112</c:v>
                </c:pt>
                <c:pt idx="655">
                  <c:v>131.00000000000111</c:v>
                </c:pt>
                <c:pt idx="656">
                  <c:v>131.2000000000011</c:v>
                </c:pt>
                <c:pt idx="657">
                  <c:v>131.40000000000109</c:v>
                </c:pt>
                <c:pt idx="658">
                  <c:v>131.60000000000107</c:v>
                </c:pt>
                <c:pt idx="659">
                  <c:v>131.80000000000106</c:v>
                </c:pt>
                <c:pt idx="660">
                  <c:v>132.00000000000105</c:v>
                </c:pt>
                <c:pt idx="661">
                  <c:v>132.20000000000104</c:v>
                </c:pt>
                <c:pt idx="662">
                  <c:v>132.40000000000103</c:v>
                </c:pt>
                <c:pt idx="663">
                  <c:v>132.60000000000102</c:v>
                </c:pt>
                <c:pt idx="664">
                  <c:v>132.80000000000101</c:v>
                </c:pt>
                <c:pt idx="665">
                  <c:v>133.00000000000099</c:v>
                </c:pt>
                <c:pt idx="666">
                  <c:v>133.20000000000098</c:v>
                </c:pt>
                <c:pt idx="667">
                  <c:v>133.40000000000097</c:v>
                </c:pt>
                <c:pt idx="668">
                  <c:v>133.60000000000096</c:v>
                </c:pt>
                <c:pt idx="669">
                  <c:v>133.80000000000095</c:v>
                </c:pt>
                <c:pt idx="670">
                  <c:v>134.00000000000094</c:v>
                </c:pt>
                <c:pt idx="671">
                  <c:v>134.20000000000093</c:v>
                </c:pt>
                <c:pt idx="672">
                  <c:v>134.40000000000092</c:v>
                </c:pt>
                <c:pt idx="673">
                  <c:v>134.6000000000009</c:v>
                </c:pt>
                <c:pt idx="674">
                  <c:v>134.80000000000089</c:v>
                </c:pt>
                <c:pt idx="675">
                  <c:v>135.00000000000088</c:v>
                </c:pt>
                <c:pt idx="676">
                  <c:v>135.20000000000087</c:v>
                </c:pt>
                <c:pt idx="677">
                  <c:v>135.40000000000086</c:v>
                </c:pt>
                <c:pt idx="678">
                  <c:v>135.60000000000085</c:v>
                </c:pt>
                <c:pt idx="679">
                  <c:v>135.80000000000084</c:v>
                </c:pt>
                <c:pt idx="680">
                  <c:v>136.00000000000082</c:v>
                </c:pt>
                <c:pt idx="681">
                  <c:v>136.20000000000081</c:v>
                </c:pt>
                <c:pt idx="682">
                  <c:v>136.4000000000008</c:v>
                </c:pt>
                <c:pt idx="683">
                  <c:v>136.60000000000079</c:v>
                </c:pt>
                <c:pt idx="684">
                  <c:v>136.80000000000078</c:v>
                </c:pt>
                <c:pt idx="685">
                  <c:v>137.00000000000077</c:v>
                </c:pt>
                <c:pt idx="686">
                  <c:v>137.20000000000076</c:v>
                </c:pt>
                <c:pt idx="687">
                  <c:v>137.40000000000074</c:v>
                </c:pt>
                <c:pt idx="688">
                  <c:v>137.60000000000073</c:v>
                </c:pt>
                <c:pt idx="689">
                  <c:v>137.80000000000072</c:v>
                </c:pt>
                <c:pt idx="690">
                  <c:v>138.00000000000071</c:v>
                </c:pt>
                <c:pt idx="691">
                  <c:v>138.2000000000007</c:v>
                </c:pt>
                <c:pt idx="692">
                  <c:v>138.40000000000069</c:v>
                </c:pt>
                <c:pt idx="693">
                  <c:v>138.60000000000068</c:v>
                </c:pt>
                <c:pt idx="694">
                  <c:v>138.80000000000067</c:v>
                </c:pt>
                <c:pt idx="695">
                  <c:v>139.00000000000065</c:v>
                </c:pt>
                <c:pt idx="696">
                  <c:v>139.20000000000064</c:v>
                </c:pt>
                <c:pt idx="697">
                  <c:v>139.40000000000063</c:v>
                </c:pt>
                <c:pt idx="698">
                  <c:v>139.60000000000062</c:v>
                </c:pt>
                <c:pt idx="699">
                  <c:v>139.80000000000061</c:v>
                </c:pt>
                <c:pt idx="700">
                  <c:v>140.0000000000006</c:v>
                </c:pt>
                <c:pt idx="701">
                  <c:v>140.20000000000059</c:v>
                </c:pt>
                <c:pt idx="702">
                  <c:v>140.40000000000057</c:v>
                </c:pt>
                <c:pt idx="703">
                  <c:v>140.60000000000056</c:v>
                </c:pt>
                <c:pt idx="704">
                  <c:v>140.80000000000055</c:v>
                </c:pt>
                <c:pt idx="705">
                  <c:v>141.00000000000054</c:v>
                </c:pt>
                <c:pt idx="706">
                  <c:v>141.20000000000053</c:v>
                </c:pt>
                <c:pt idx="707">
                  <c:v>141.40000000000052</c:v>
                </c:pt>
                <c:pt idx="708">
                  <c:v>141.60000000000051</c:v>
                </c:pt>
                <c:pt idx="709">
                  <c:v>141.80000000000049</c:v>
                </c:pt>
                <c:pt idx="710">
                  <c:v>142.00000000000048</c:v>
                </c:pt>
                <c:pt idx="711">
                  <c:v>142.20000000000047</c:v>
                </c:pt>
                <c:pt idx="712">
                  <c:v>142.40000000000046</c:v>
                </c:pt>
                <c:pt idx="713">
                  <c:v>142.60000000000045</c:v>
                </c:pt>
                <c:pt idx="714">
                  <c:v>142.80000000000044</c:v>
                </c:pt>
                <c:pt idx="715">
                  <c:v>143.00000000000043</c:v>
                </c:pt>
                <c:pt idx="716">
                  <c:v>143.20000000000041</c:v>
                </c:pt>
                <c:pt idx="717">
                  <c:v>143.4000000000004</c:v>
                </c:pt>
                <c:pt idx="718">
                  <c:v>143.60000000000039</c:v>
                </c:pt>
                <c:pt idx="719">
                  <c:v>143.80000000000038</c:v>
                </c:pt>
                <c:pt idx="720">
                  <c:v>144.00000000000037</c:v>
                </c:pt>
                <c:pt idx="721">
                  <c:v>144.20000000000036</c:v>
                </c:pt>
                <c:pt idx="722">
                  <c:v>144.40000000000035</c:v>
                </c:pt>
                <c:pt idx="723">
                  <c:v>144.60000000000034</c:v>
                </c:pt>
                <c:pt idx="724">
                  <c:v>144.80000000000032</c:v>
                </c:pt>
                <c:pt idx="725">
                  <c:v>145.00000000000031</c:v>
                </c:pt>
                <c:pt idx="726">
                  <c:v>145.2000000000003</c:v>
                </c:pt>
                <c:pt idx="727">
                  <c:v>145.40000000000029</c:v>
                </c:pt>
                <c:pt idx="728">
                  <c:v>145.60000000000028</c:v>
                </c:pt>
                <c:pt idx="729">
                  <c:v>145.80000000000027</c:v>
                </c:pt>
                <c:pt idx="730">
                  <c:v>146.00000000000026</c:v>
                </c:pt>
                <c:pt idx="731">
                  <c:v>146.20000000000024</c:v>
                </c:pt>
                <c:pt idx="732">
                  <c:v>146.40000000000023</c:v>
                </c:pt>
                <c:pt idx="733">
                  <c:v>146.60000000000022</c:v>
                </c:pt>
                <c:pt idx="734">
                  <c:v>146.80000000000021</c:v>
                </c:pt>
                <c:pt idx="735">
                  <c:v>147.0000000000002</c:v>
                </c:pt>
                <c:pt idx="736">
                  <c:v>147.20000000000019</c:v>
                </c:pt>
                <c:pt idx="737">
                  <c:v>147.40000000000018</c:v>
                </c:pt>
                <c:pt idx="738">
                  <c:v>147.60000000000016</c:v>
                </c:pt>
                <c:pt idx="739">
                  <c:v>147.80000000000015</c:v>
                </c:pt>
                <c:pt idx="740">
                  <c:v>148.00000000000014</c:v>
                </c:pt>
                <c:pt idx="741">
                  <c:v>148.20000000000013</c:v>
                </c:pt>
                <c:pt idx="742">
                  <c:v>148.40000000000012</c:v>
                </c:pt>
                <c:pt idx="743">
                  <c:v>148.60000000000011</c:v>
                </c:pt>
                <c:pt idx="744">
                  <c:v>148.8000000000001</c:v>
                </c:pt>
                <c:pt idx="745">
                  <c:v>149.00000000000009</c:v>
                </c:pt>
                <c:pt idx="746">
                  <c:v>149.20000000000007</c:v>
                </c:pt>
                <c:pt idx="747">
                  <c:v>149.40000000000006</c:v>
                </c:pt>
                <c:pt idx="748">
                  <c:v>149.60000000000005</c:v>
                </c:pt>
                <c:pt idx="749">
                  <c:v>149.80000000000004</c:v>
                </c:pt>
                <c:pt idx="750">
                  <c:v>150.00000000000003</c:v>
                </c:pt>
                <c:pt idx="751">
                  <c:v>150.20000000000002</c:v>
                </c:pt>
                <c:pt idx="752">
                  <c:v>150.4</c:v>
                </c:pt>
                <c:pt idx="753">
                  <c:v>150.6</c:v>
                </c:pt>
                <c:pt idx="754">
                  <c:v>150.79999999999998</c:v>
                </c:pt>
                <c:pt idx="755">
                  <c:v>150.99999999999997</c:v>
                </c:pt>
                <c:pt idx="756">
                  <c:v>151.19999999999996</c:v>
                </c:pt>
                <c:pt idx="757">
                  <c:v>151.39999999999995</c:v>
                </c:pt>
                <c:pt idx="758">
                  <c:v>151.59999999999994</c:v>
                </c:pt>
                <c:pt idx="759">
                  <c:v>151.79999999999993</c:v>
                </c:pt>
                <c:pt idx="760">
                  <c:v>151.99999999999991</c:v>
                </c:pt>
                <c:pt idx="761">
                  <c:v>152.1999999999999</c:v>
                </c:pt>
                <c:pt idx="762">
                  <c:v>152.39999999999989</c:v>
                </c:pt>
                <c:pt idx="763">
                  <c:v>152.59999999999988</c:v>
                </c:pt>
                <c:pt idx="764">
                  <c:v>152.79999999999987</c:v>
                </c:pt>
                <c:pt idx="765">
                  <c:v>152.99999999999986</c:v>
                </c:pt>
                <c:pt idx="766">
                  <c:v>153.19999999999985</c:v>
                </c:pt>
                <c:pt idx="767">
                  <c:v>153.39999999999984</c:v>
                </c:pt>
                <c:pt idx="768">
                  <c:v>153.59999999999982</c:v>
                </c:pt>
                <c:pt idx="769">
                  <c:v>153.79999999999981</c:v>
                </c:pt>
                <c:pt idx="770">
                  <c:v>153.9999999999998</c:v>
                </c:pt>
                <c:pt idx="771">
                  <c:v>154.19999999999979</c:v>
                </c:pt>
                <c:pt idx="772">
                  <c:v>154.39999999999978</c:v>
                </c:pt>
                <c:pt idx="773">
                  <c:v>154.59999999999977</c:v>
                </c:pt>
                <c:pt idx="774">
                  <c:v>154.79999999999976</c:v>
                </c:pt>
                <c:pt idx="775">
                  <c:v>154.99999999999974</c:v>
                </c:pt>
                <c:pt idx="776">
                  <c:v>155.19999999999973</c:v>
                </c:pt>
                <c:pt idx="777">
                  <c:v>155.39999999999972</c:v>
                </c:pt>
                <c:pt idx="778">
                  <c:v>155.59999999999971</c:v>
                </c:pt>
                <c:pt idx="779">
                  <c:v>155.7999999999997</c:v>
                </c:pt>
                <c:pt idx="780">
                  <c:v>155.99999999999969</c:v>
                </c:pt>
                <c:pt idx="781">
                  <c:v>156.19999999999968</c:v>
                </c:pt>
                <c:pt idx="782">
                  <c:v>156.39999999999966</c:v>
                </c:pt>
                <c:pt idx="783">
                  <c:v>156.59999999999965</c:v>
                </c:pt>
                <c:pt idx="784">
                  <c:v>156.79999999999964</c:v>
                </c:pt>
                <c:pt idx="785">
                  <c:v>156.99999999999963</c:v>
                </c:pt>
                <c:pt idx="786">
                  <c:v>157.19999999999962</c:v>
                </c:pt>
                <c:pt idx="787">
                  <c:v>157.39999999999961</c:v>
                </c:pt>
                <c:pt idx="788">
                  <c:v>157.5999999999996</c:v>
                </c:pt>
                <c:pt idx="789">
                  <c:v>157.79999999999959</c:v>
                </c:pt>
                <c:pt idx="790">
                  <c:v>157.99999999999957</c:v>
                </c:pt>
                <c:pt idx="791">
                  <c:v>158.19999999999956</c:v>
                </c:pt>
                <c:pt idx="792">
                  <c:v>158.39999999999955</c:v>
                </c:pt>
                <c:pt idx="793">
                  <c:v>158.59999999999954</c:v>
                </c:pt>
                <c:pt idx="794">
                  <c:v>158.79999999999953</c:v>
                </c:pt>
                <c:pt idx="795">
                  <c:v>158.99999999999952</c:v>
                </c:pt>
                <c:pt idx="796">
                  <c:v>159.19999999999951</c:v>
                </c:pt>
                <c:pt idx="797">
                  <c:v>159.39999999999949</c:v>
                </c:pt>
                <c:pt idx="798">
                  <c:v>159.59999999999948</c:v>
                </c:pt>
                <c:pt idx="799">
                  <c:v>159.79999999999947</c:v>
                </c:pt>
                <c:pt idx="800">
                  <c:v>159.99999999999946</c:v>
                </c:pt>
                <c:pt idx="801">
                  <c:v>160.19999999999945</c:v>
                </c:pt>
                <c:pt idx="802">
                  <c:v>160.39999999999944</c:v>
                </c:pt>
                <c:pt idx="803">
                  <c:v>160.59999999999943</c:v>
                </c:pt>
                <c:pt idx="804">
                  <c:v>160.79999999999941</c:v>
                </c:pt>
                <c:pt idx="805">
                  <c:v>160.9999999999994</c:v>
                </c:pt>
                <c:pt idx="806">
                  <c:v>161.19999999999939</c:v>
                </c:pt>
                <c:pt idx="807">
                  <c:v>161.39999999999938</c:v>
                </c:pt>
                <c:pt idx="808">
                  <c:v>161.59999999999937</c:v>
                </c:pt>
                <c:pt idx="809">
                  <c:v>161.79999999999936</c:v>
                </c:pt>
                <c:pt idx="810">
                  <c:v>161.99999999999935</c:v>
                </c:pt>
                <c:pt idx="811">
                  <c:v>162.19999999999933</c:v>
                </c:pt>
                <c:pt idx="812">
                  <c:v>162.39999999999932</c:v>
                </c:pt>
                <c:pt idx="813">
                  <c:v>162.59999999999931</c:v>
                </c:pt>
                <c:pt idx="814">
                  <c:v>162.7999999999993</c:v>
                </c:pt>
                <c:pt idx="815">
                  <c:v>162.99999999999929</c:v>
                </c:pt>
                <c:pt idx="816">
                  <c:v>163.19999999999928</c:v>
                </c:pt>
                <c:pt idx="817">
                  <c:v>163.39999999999927</c:v>
                </c:pt>
                <c:pt idx="818">
                  <c:v>163.59999999999926</c:v>
                </c:pt>
                <c:pt idx="819">
                  <c:v>163.79999999999924</c:v>
                </c:pt>
                <c:pt idx="820">
                  <c:v>163.99999999999923</c:v>
                </c:pt>
                <c:pt idx="821">
                  <c:v>164.19999999999922</c:v>
                </c:pt>
                <c:pt idx="822">
                  <c:v>164.39999999999921</c:v>
                </c:pt>
                <c:pt idx="823">
                  <c:v>164.5999999999992</c:v>
                </c:pt>
                <c:pt idx="824">
                  <c:v>164.79999999999919</c:v>
                </c:pt>
                <c:pt idx="825">
                  <c:v>164.99999999999918</c:v>
                </c:pt>
                <c:pt idx="826">
                  <c:v>165.19999999999916</c:v>
                </c:pt>
                <c:pt idx="827">
                  <c:v>165.39999999999915</c:v>
                </c:pt>
                <c:pt idx="828">
                  <c:v>165.59999999999914</c:v>
                </c:pt>
                <c:pt idx="829">
                  <c:v>165.79999999999913</c:v>
                </c:pt>
                <c:pt idx="830">
                  <c:v>165.99999999999912</c:v>
                </c:pt>
                <c:pt idx="831">
                  <c:v>166.19999999999911</c:v>
                </c:pt>
                <c:pt idx="832">
                  <c:v>166.3999999999991</c:v>
                </c:pt>
                <c:pt idx="833">
                  <c:v>166.59999999999908</c:v>
                </c:pt>
                <c:pt idx="834">
                  <c:v>166.79999999999907</c:v>
                </c:pt>
                <c:pt idx="835">
                  <c:v>166.99999999999906</c:v>
                </c:pt>
                <c:pt idx="836">
                  <c:v>167.19999999999905</c:v>
                </c:pt>
                <c:pt idx="837">
                  <c:v>167.39999999999904</c:v>
                </c:pt>
                <c:pt idx="838">
                  <c:v>167.59999999999903</c:v>
                </c:pt>
                <c:pt idx="839">
                  <c:v>167.79999999999902</c:v>
                </c:pt>
                <c:pt idx="840">
                  <c:v>167.99999999999901</c:v>
                </c:pt>
                <c:pt idx="841">
                  <c:v>168.19999999999899</c:v>
                </c:pt>
                <c:pt idx="842">
                  <c:v>168.39999999999898</c:v>
                </c:pt>
                <c:pt idx="843">
                  <c:v>168.59999999999897</c:v>
                </c:pt>
                <c:pt idx="844">
                  <c:v>168.79999999999896</c:v>
                </c:pt>
                <c:pt idx="845">
                  <c:v>168.99999999999895</c:v>
                </c:pt>
                <c:pt idx="846">
                  <c:v>169.19999999999894</c:v>
                </c:pt>
                <c:pt idx="847">
                  <c:v>169.39999999999893</c:v>
                </c:pt>
                <c:pt idx="848">
                  <c:v>169.59999999999891</c:v>
                </c:pt>
                <c:pt idx="849">
                  <c:v>169.7999999999989</c:v>
                </c:pt>
                <c:pt idx="850">
                  <c:v>169.99999999999889</c:v>
                </c:pt>
                <c:pt idx="851">
                  <c:v>170.19999999999888</c:v>
                </c:pt>
                <c:pt idx="852">
                  <c:v>170.39999999999887</c:v>
                </c:pt>
                <c:pt idx="853">
                  <c:v>170.59999999999886</c:v>
                </c:pt>
                <c:pt idx="854">
                  <c:v>170.79999999999885</c:v>
                </c:pt>
                <c:pt idx="855">
                  <c:v>170.99999999999883</c:v>
                </c:pt>
                <c:pt idx="856">
                  <c:v>171.19999999999882</c:v>
                </c:pt>
                <c:pt idx="857">
                  <c:v>171.39999999999881</c:v>
                </c:pt>
                <c:pt idx="858">
                  <c:v>171.5999999999988</c:v>
                </c:pt>
                <c:pt idx="859">
                  <c:v>171.79999999999879</c:v>
                </c:pt>
                <c:pt idx="860">
                  <c:v>171.99999999999878</c:v>
                </c:pt>
                <c:pt idx="861">
                  <c:v>172.19999999999877</c:v>
                </c:pt>
                <c:pt idx="862">
                  <c:v>172.39999999999876</c:v>
                </c:pt>
                <c:pt idx="863">
                  <c:v>172.59999999999874</c:v>
                </c:pt>
                <c:pt idx="864">
                  <c:v>172.79999999999873</c:v>
                </c:pt>
                <c:pt idx="865">
                  <c:v>172.99999999999872</c:v>
                </c:pt>
                <c:pt idx="866">
                  <c:v>173.19999999999871</c:v>
                </c:pt>
                <c:pt idx="867">
                  <c:v>173.3999999999987</c:v>
                </c:pt>
                <c:pt idx="868">
                  <c:v>173.59999999999869</c:v>
                </c:pt>
                <c:pt idx="869">
                  <c:v>173.79999999999868</c:v>
                </c:pt>
                <c:pt idx="870">
                  <c:v>173.99999999999866</c:v>
                </c:pt>
                <c:pt idx="871">
                  <c:v>174.19999999999865</c:v>
                </c:pt>
                <c:pt idx="872">
                  <c:v>174.39999999999864</c:v>
                </c:pt>
                <c:pt idx="873">
                  <c:v>174.59999999999863</c:v>
                </c:pt>
                <c:pt idx="874">
                  <c:v>174.79999999999862</c:v>
                </c:pt>
                <c:pt idx="875">
                  <c:v>174.99999999999861</c:v>
                </c:pt>
                <c:pt idx="876">
                  <c:v>175.1999999999986</c:v>
                </c:pt>
                <c:pt idx="877">
                  <c:v>175.39999999999858</c:v>
                </c:pt>
                <c:pt idx="878">
                  <c:v>175.59999999999857</c:v>
                </c:pt>
                <c:pt idx="879">
                  <c:v>175.79999999999856</c:v>
                </c:pt>
                <c:pt idx="880">
                  <c:v>175.99999999999855</c:v>
                </c:pt>
                <c:pt idx="881">
                  <c:v>176.19999999999854</c:v>
                </c:pt>
                <c:pt idx="882">
                  <c:v>176.39999999999853</c:v>
                </c:pt>
                <c:pt idx="883">
                  <c:v>176.59999999999852</c:v>
                </c:pt>
                <c:pt idx="884">
                  <c:v>176.79999999999851</c:v>
                </c:pt>
                <c:pt idx="885">
                  <c:v>176.99999999999849</c:v>
                </c:pt>
                <c:pt idx="886">
                  <c:v>177.19999999999848</c:v>
                </c:pt>
                <c:pt idx="887">
                  <c:v>177.39999999999847</c:v>
                </c:pt>
                <c:pt idx="888">
                  <c:v>177.59999999999846</c:v>
                </c:pt>
                <c:pt idx="889">
                  <c:v>177.79999999999845</c:v>
                </c:pt>
                <c:pt idx="890">
                  <c:v>177.99999999999844</c:v>
                </c:pt>
                <c:pt idx="891">
                  <c:v>178.19999999999843</c:v>
                </c:pt>
                <c:pt idx="892">
                  <c:v>178.39999999999841</c:v>
                </c:pt>
                <c:pt idx="893">
                  <c:v>178.5999999999984</c:v>
                </c:pt>
                <c:pt idx="894">
                  <c:v>178.79999999999839</c:v>
                </c:pt>
                <c:pt idx="895">
                  <c:v>178.99999999999838</c:v>
                </c:pt>
                <c:pt idx="896">
                  <c:v>179.19999999999837</c:v>
                </c:pt>
                <c:pt idx="897">
                  <c:v>179.39999999999836</c:v>
                </c:pt>
                <c:pt idx="898">
                  <c:v>179.59999999999835</c:v>
                </c:pt>
                <c:pt idx="899">
                  <c:v>179.79999999999833</c:v>
                </c:pt>
                <c:pt idx="900">
                  <c:v>179.99999999999832</c:v>
                </c:pt>
                <c:pt idx="901">
                  <c:v>180.19999999999831</c:v>
                </c:pt>
                <c:pt idx="902">
                  <c:v>180.3999999999983</c:v>
                </c:pt>
                <c:pt idx="903">
                  <c:v>180.59999999999829</c:v>
                </c:pt>
                <c:pt idx="904">
                  <c:v>180.79999999999828</c:v>
                </c:pt>
                <c:pt idx="905">
                  <c:v>180.99999999999827</c:v>
                </c:pt>
                <c:pt idx="906">
                  <c:v>181.19999999999825</c:v>
                </c:pt>
                <c:pt idx="907">
                  <c:v>181.39999999999824</c:v>
                </c:pt>
                <c:pt idx="908">
                  <c:v>181.59999999999823</c:v>
                </c:pt>
                <c:pt idx="909">
                  <c:v>181.79999999999822</c:v>
                </c:pt>
                <c:pt idx="910">
                  <c:v>181.99999999999821</c:v>
                </c:pt>
                <c:pt idx="911">
                  <c:v>182.1999999999982</c:v>
                </c:pt>
                <c:pt idx="912">
                  <c:v>182.39999999999819</c:v>
                </c:pt>
                <c:pt idx="913">
                  <c:v>182.59999999999818</c:v>
                </c:pt>
                <c:pt idx="914">
                  <c:v>182.79999999999816</c:v>
                </c:pt>
                <c:pt idx="915">
                  <c:v>182.99999999999815</c:v>
                </c:pt>
                <c:pt idx="916">
                  <c:v>183.19999999999814</c:v>
                </c:pt>
                <c:pt idx="917">
                  <c:v>183.39999999999813</c:v>
                </c:pt>
                <c:pt idx="918">
                  <c:v>183.59999999999812</c:v>
                </c:pt>
                <c:pt idx="919">
                  <c:v>183.79999999999811</c:v>
                </c:pt>
                <c:pt idx="920">
                  <c:v>183.9999999999981</c:v>
                </c:pt>
                <c:pt idx="921">
                  <c:v>184.19999999999808</c:v>
                </c:pt>
                <c:pt idx="922">
                  <c:v>184.39999999999807</c:v>
                </c:pt>
                <c:pt idx="923">
                  <c:v>184.59999999999806</c:v>
                </c:pt>
                <c:pt idx="924">
                  <c:v>184.79999999999805</c:v>
                </c:pt>
                <c:pt idx="925">
                  <c:v>184.99999999999804</c:v>
                </c:pt>
                <c:pt idx="926">
                  <c:v>185.19999999999803</c:v>
                </c:pt>
                <c:pt idx="927">
                  <c:v>185.39999999999802</c:v>
                </c:pt>
                <c:pt idx="928">
                  <c:v>185.599999999998</c:v>
                </c:pt>
                <c:pt idx="929">
                  <c:v>185.79999999999799</c:v>
                </c:pt>
                <c:pt idx="930">
                  <c:v>185.99999999999798</c:v>
                </c:pt>
                <c:pt idx="931">
                  <c:v>186.19999999999797</c:v>
                </c:pt>
                <c:pt idx="932">
                  <c:v>186.39999999999796</c:v>
                </c:pt>
                <c:pt idx="933">
                  <c:v>186.59999999999795</c:v>
                </c:pt>
                <c:pt idx="934">
                  <c:v>186.79999999999794</c:v>
                </c:pt>
                <c:pt idx="935">
                  <c:v>186.99999999999793</c:v>
                </c:pt>
                <c:pt idx="936">
                  <c:v>187.19999999999791</c:v>
                </c:pt>
                <c:pt idx="937">
                  <c:v>187.3999999999979</c:v>
                </c:pt>
                <c:pt idx="938">
                  <c:v>187.59999999999789</c:v>
                </c:pt>
                <c:pt idx="939">
                  <c:v>187.79999999999788</c:v>
                </c:pt>
                <c:pt idx="940">
                  <c:v>187.99999999999787</c:v>
                </c:pt>
                <c:pt idx="941">
                  <c:v>188.19999999999786</c:v>
                </c:pt>
                <c:pt idx="942">
                  <c:v>188.39999999999785</c:v>
                </c:pt>
                <c:pt idx="943">
                  <c:v>188.59999999999783</c:v>
                </c:pt>
                <c:pt idx="944">
                  <c:v>188.79999999999782</c:v>
                </c:pt>
                <c:pt idx="945">
                  <c:v>188.99999999999781</c:v>
                </c:pt>
                <c:pt idx="946">
                  <c:v>189.1999999999978</c:v>
                </c:pt>
                <c:pt idx="947">
                  <c:v>189.39999999999779</c:v>
                </c:pt>
                <c:pt idx="948">
                  <c:v>189.59999999999778</c:v>
                </c:pt>
                <c:pt idx="949">
                  <c:v>189.79999999999777</c:v>
                </c:pt>
                <c:pt idx="950">
                  <c:v>189.99999999999775</c:v>
                </c:pt>
                <c:pt idx="951">
                  <c:v>190.19999999999774</c:v>
                </c:pt>
                <c:pt idx="952">
                  <c:v>190.39999999999773</c:v>
                </c:pt>
                <c:pt idx="953">
                  <c:v>190.59999999999772</c:v>
                </c:pt>
                <c:pt idx="954">
                  <c:v>190.79999999999771</c:v>
                </c:pt>
                <c:pt idx="955">
                  <c:v>190.9999999999977</c:v>
                </c:pt>
                <c:pt idx="956">
                  <c:v>191.19999999999769</c:v>
                </c:pt>
                <c:pt idx="957">
                  <c:v>191.39999999999768</c:v>
                </c:pt>
                <c:pt idx="958">
                  <c:v>191.59999999999766</c:v>
                </c:pt>
                <c:pt idx="959">
                  <c:v>191.79999999999765</c:v>
                </c:pt>
                <c:pt idx="960">
                  <c:v>191.99999999999764</c:v>
                </c:pt>
                <c:pt idx="961">
                  <c:v>192.19999999999763</c:v>
                </c:pt>
                <c:pt idx="962">
                  <c:v>192.39999999999762</c:v>
                </c:pt>
                <c:pt idx="963">
                  <c:v>192.59999999999761</c:v>
                </c:pt>
                <c:pt idx="964">
                  <c:v>192.7999999999976</c:v>
                </c:pt>
                <c:pt idx="965">
                  <c:v>192.99999999999758</c:v>
                </c:pt>
                <c:pt idx="966">
                  <c:v>193.19999999999757</c:v>
                </c:pt>
                <c:pt idx="967">
                  <c:v>193.39999999999756</c:v>
                </c:pt>
                <c:pt idx="968">
                  <c:v>193.59999999999755</c:v>
                </c:pt>
                <c:pt idx="969">
                  <c:v>193.79999999999754</c:v>
                </c:pt>
                <c:pt idx="970">
                  <c:v>193.99999999999753</c:v>
                </c:pt>
                <c:pt idx="971">
                  <c:v>194.19999999999752</c:v>
                </c:pt>
                <c:pt idx="972">
                  <c:v>194.3999999999975</c:v>
                </c:pt>
                <c:pt idx="973">
                  <c:v>194.59999999999749</c:v>
                </c:pt>
                <c:pt idx="974">
                  <c:v>194.79999999999748</c:v>
                </c:pt>
                <c:pt idx="975">
                  <c:v>194.99999999999747</c:v>
                </c:pt>
                <c:pt idx="976">
                  <c:v>195.19999999999746</c:v>
                </c:pt>
                <c:pt idx="977">
                  <c:v>195.39999999999745</c:v>
                </c:pt>
                <c:pt idx="978">
                  <c:v>195.59999999999744</c:v>
                </c:pt>
                <c:pt idx="979">
                  <c:v>195.79999999999742</c:v>
                </c:pt>
                <c:pt idx="980">
                  <c:v>195.99999999999741</c:v>
                </c:pt>
                <c:pt idx="981">
                  <c:v>196.1999999999974</c:v>
                </c:pt>
                <c:pt idx="982">
                  <c:v>196.39999999999739</c:v>
                </c:pt>
                <c:pt idx="983">
                  <c:v>196.59999999999738</c:v>
                </c:pt>
                <c:pt idx="984">
                  <c:v>196.79999999999737</c:v>
                </c:pt>
                <c:pt idx="985">
                  <c:v>196.99999999999736</c:v>
                </c:pt>
                <c:pt idx="986">
                  <c:v>197.19999999999735</c:v>
                </c:pt>
                <c:pt idx="987">
                  <c:v>197.39999999999733</c:v>
                </c:pt>
                <c:pt idx="988">
                  <c:v>197.59999999999732</c:v>
                </c:pt>
                <c:pt idx="989">
                  <c:v>197.79999999999731</c:v>
                </c:pt>
                <c:pt idx="990">
                  <c:v>197.9999999999973</c:v>
                </c:pt>
                <c:pt idx="991">
                  <c:v>198.19999999999729</c:v>
                </c:pt>
                <c:pt idx="992">
                  <c:v>198.39999999999728</c:v>
                </c:pt>
                <c:pt idx="993">
                  <c:v>198.59999999999727</c:v>
                </c:pt>
                <c:pt idx="994">
                  <c:v>198.79999999999725</c:v>
                </c:pt>
                <c:pt idx="995">
                  <c:v>198.99999999999724</c:v>
                </c:pt>
                <c:pt idx="996">
                  <c:v>199.19999999999723</c:v>
                </c:pt>
                <c:pt idx="997">
                  <c:v>199.39999999999722</c:v>
                </c:pt>
                <c:pt idx="998">
                  <c:v>199.59999999999721</c:v>
                </c:pt>
                <c:pt idx="999">
                  <c:v>199.7999999999972</c:v>
                </c:pt>
                <c:pt idx="1000">
                  <c:v>199.99999999999719</c:v>
                </c:pt>
                <c:pt idx="1001">
                  <c:v>200.19999999999717</c:v>
                </c:pt>
                <c:pt idx="1002">
                  <c:v>200.39999999999716</c:v>
                </c:pt>
                <c:pt idx="1003">
                  <c:v>200.59999999999715</c:v>
                </c:pt>
                <c:pt idx="1004">
                  <c:v>200.79999999999714</c:v>
                </c:pt>
                <c:pt idx="1005">
                  <c:v>200.99999999999713</c:v>
                </c:pt>
                <c:pt idx="1006">
                  <c:v>201.19999999999712</c:v>
                </c:pt>
                <c:pt idx="1007">
                  <c:v>201.39999999999711</c:v>
                </c:pt>
                <c:pt idx="1008">
                  <c:v>201.5999999999971</c:v>
                </c:pt>
                <c:pt idx="1009">
                  <c:v>201.79999999999708</c:v>
                </c:pt>
                <c:pt idx="1010">
                  <c:v>201.99999999999707</c:v>
                </c:pt>
                <c:pt idx="1011">
                  <c:v>202.19999999999706</c:v>
                </c:pt>
                <c:pt idx="1012">
                  <c:v>202.39999999999705</c:v>
                </c:pt>
                <c:pt idx="1013">
                  <c:v>202.59999999999704</c:v>
                </c:pt>
                <c:pt idx="1014">
                  <c:v>202.79999999999703</c:v>
                </c:pt>
                <c:pt idx="1015">
                  <c:v>202.99999999999702</c:v>
                </c:pt>
                <c:pt idx="1016">
                  <c:v>203.199999999997</c:v>
                </c:pt>
                <c:pt idx="1017">
                  <c:v>203.39999999999699</c:v>
                </c:pt>
                <c:pt idx="1018">
                  <c:v>203.59999999999698</c:v>
                </c:pt>
                <c:pt idx="1019">
                  <c:v>203.79999999999697</c:v>
                </c:pt>
                <c:pt idx="1020">
                  <c:v>203.99999999999696</c:v>
                </c:pt>
                <c:pt idx="1021">
                  <c:v>204.19999999999695</c:v>
                </c:pt>
                <c:pt idx="1022">
                  <c:v>204.39999999999694</c:v>
                </c:pt>
                <c:pt idx="1023">
                  <c:v>204.59999999999692</c:v>
                </c:pt>
                <c:pt idx="1024">
                  <c:v>204.79999999999691</c:v>
                </c:pt>
                <c:pt idx="1025">
                  <c:v>204.9999999999969</c:v>
                </c:pt>
                <c:pt idx="1026">
                  <c:v>205.19999999999689</c:v>
                </c:pt>
                <c:pt idx="1027">
                  <c:v>205.39999999999688</c:v>
                </c:pt>
                <c:pt idx="1028">
                  <c:v>205.59999999999687</c:v>
                </c:pt>
                <c:pt idx="1029">
                  <c:v>205.79999999999686</c:v>
                </c:pt>
                <c:pt idx="1030">
                  <c:v>205.99999999999685</c:v>
                </c:pt>
                <c:pt idx="1031">
                  <c:v>206.19999999999683</c:v>
                </c:pt>
                <c:pt idx="1032">
                  <c:v>206.39999999999682</c:v>
                </c:pt>
                <c:pt idx="1033">
                  <c:v>206.59999999999681</c:v>
                </c:pt>
                <c:pt idx="1034">
                  <c:v>206.7999999999968</c:v>
                </c:pt>
                <c:pt idx="1035">
                  <c:v>206.99999999999679</c:v>
                </c:pt>
                <c:pt idx="1036">
                  <c:v>207.19999999999678</c:v>
                </c:pt>
                <c:pt idx="1037">
                  <c:v>207.39999999999677</c:v>
                </c:pt>
                <c:pt idx="1038">
                  <c:v>207.59999999999675</c:v>
                </c:pt>
                <c:pt idx="1039">
                  <c:v>207.79999999999674</c:v>
                </c:pt>
                <c:pt idx="1040">
                  <c:v>207.99999999999673</c:v>
                </c:pt>
                <c:pt idx="1041">
                  <c:v>208.19999999999672</c:v>
                </c:pt>
                <c:pt idx="1042">
                  <c:v>208.39999999999671</c:v>
                </c:pt>
                <c:pt idx="1043">
                  <c:v>208.5999999999967</c:v>
                </c:pt>
                <c:pt idx="1044">
                  <c:v>208.79999999999669</c:v>
                </c:pt>
                <c:pt idx="1045">
                  <c:v>208.99999999999667</c:v>
                </c:pt>
                <c:pt idx="1046">
                  <c:v>209.19999999999666</c:v>
                </c:pt>
                <c:pt idx="1047">
                  <c:v>209.39999999999665</c:v>
                </c:pt>
                <c:pt idx="1048">
                  <c:v>209.59999999999664</c:v>
                </c:pt>
                <c:pt idx="1049">
                  <c:v>209.79999999999663</c:v>
                </c:pt>
                <c:pt idx="1050">
                  <c:v>209.99999999999662</c:v>
                </c:pt>
                <c:pt idx="1051">
                  <c:v>210.19999999999661</c:v>
                </c:pt>
                <c:pt idx="1052">
                  <c:v>210.3999999999966</c:v>
                </c:pt>
                <c:pt idx="1053">
                  <c:v>210.59999999999658</c:v>
                </c:pt>
                <c:pt idx="1054">
                  <c:v>210.79999999999657</c:v>
                </c:pt>
                <c:pt idx="1055">
                  <c:v>210.99999999999656</c:v>
                </c:pt>
                <c:pt idx="1056">
                  <c:v>211.19999999999655</c:v>
                </c:pt>
                <c:pt idx="1057">
                  <c:v>211.39999999999654</c:v>
                </c:pt>
                <c:pt idx="1058">
                  <c:v>211.59999999999653</c:v>
                </c:pt>
                <c:pt idx="1059">
                  <c:v>211.79999999999652</c:v>
                </c:pt>
                <c:pt idx="1060">
                  <c:v>211.9999999999965</c:v>
                </c:pt>
                <c:pt idx="1061">
                  <c:v>212.19999999999649</c:v>
                </c:pt>
                <c:pt idx="1062">
                  <c:v>212.39999999999648</c:v>
                </c:pt>
                <c:pt idx="1063">
                  <c:v>212.59999999999647</c:v>
                </c:pt>
                <c:pt idx="1064">
                  <c:v>212.79999999999646</c:v>
                </c:pt>
                <c:pt idx="1065">
                  <c:v>212.99999999999645</c:v>
                </c:pt>
                <c:pt idx="1066">
                  <c:v>213.19999999999644</c:v>
                </c:pt>
                <c:pt idx="1067">
                  <c:v>213.39999999999642</c:v>
                </c:pt>
                <c:pt idx="1068">
                  <c:v>213.59999999999641</c:v>
                </c:pt>
                <c:pt idx="1069">
                  <c:v>213.7999999999964</c:v>
                </c:pt>
                <c:pt idx="1070">
                  <c:v>213.99999999999639</c:v>
                </c:pt>
                <c:pt idx="1071">
                  <c:v>214.19999999999638</c:v>
                </c:pt>
                <c:pt idx="1072">
                  <c:v>214.39999999999637</c:v>
                </c:pt>
                <c:pt idx="1073">
                  <c:v>214.59999999999636</c:v>
                </c:pt>
                <c:pt idx="1074">
                  <c:v>214.79999999999634</c:v>
                </c:pt>
                <c:pt idx="1075">
                  <c:v>214.99999999999633</c:v>
                </c:pt>
                <c:pt idx="1076">
                  <c:v>215.19999999999632</c:v>
                </c:pt>
                <c:pt idx="1077">
                  <c:v>215.39999999999631</c:v>
                </c:pt>
                <c:pt idx="1078">
                  <c:v>215.5999999999963</c:v>
                </c:pt>
                <c:pt idx="1079">
                  <c:v>215.79999999999629</c:v>
                </c:pt>
                <c:pt idx="1080">
                  <c:v>215.99999999999628</c:v>
                </c:pt>
                <c:pt idx="1081">
                  <c:v>216.19999999999627</c:v>
                </c:pt>
                <c:pt idx="1082">
                  <c:v>216.39999999999625</c:v>
                </c:pt>
                <c:pt idx="1083">
                  <c:v>216.59999999999624</c:v>
                </c:pt>
                <c:pt idx="1084">
                  <c:v>216.79999999999623</c:v>
                </c:pt>
                <c:pt idx="1085">
                  <c:v>216.99999999999622</c:v>
                </c:pt>
                <c:pt idx="1086">
                  <c:v>217.19999999999621</c:v>
                </c:pt>
                <c:pt idx="1087">
                  <c:v>217.3999999999962</c:v>
                </c:pt>
                <c:pt idx="1088">
                  <c:v>217.59999999999619</c:v>
                </c:pt>
                <c:pt idx="1089">
                  <c:v>217.79999999999617</c:v>
                </c:pt>
                <c:pt idx="1090">
                  <c:v>217.99999999999616</c:v>
                </c:pt>
                <c:pt idx="1091">
                  <c:v>218.19999999999615</c:v>
                </c:pt>
                <c:pt idx="1092">
                  <c:v>218.39999999999614</c:v>
                </c:pt>
                <c:pt idx="1093">
                  <c:v>218.59999999999613</c:v>
                </c:pt>
                <c:pt idx="1094">
                  <c:v>218.79999999999612</c:v>
                </c:pt>
                <c:pt idx="1095">
                  <c:v>218.99999999999611</c:v>
                </c:pt>
                <c:pt idx="1096">
                  <c:v>219.19999999999609</c:v>
                </c:pt>
                <c:pt idx="1097">
                  <c:v>219.39999999999608</c:v>
                </c:pt>
                <c:pt idx="1098">
                  <c:v>219.59999999999607</c:v>
                </c:pt>
                <c:pt idx="1099">
                  <c:v>219.79999999999606</c:v>
                </c:pt>
                <c:pt idx="1100">
                  <c:v>219.99999999999605</c:v>
                </c:pt>
                <c:pt idx="1101">
                  <c:v>220.19999999999604</c:v>
                </c:pt>
                <c:pt idx="1102">
                  <c:v>220.39999999999603</c:v>
                </c:pt>
                <c:pt idx="1103">
                  <c:v>220.59999999999602</c:v>
                </c:pt>
                <c:pt idx="1104">
                  <c:v>220.799999999996</c:v>
                </c:pt>
                <c:pt idx="1105">
                  <c:v>220.99999999999599</c:v>
                </c:pt>
                <c:pt idx="1106">
                  <c:v>221.19999999999598</c:v>
                </c:pt>
                <c:pt idx="1107">
                  <c:v>221.39999999999597</c:v>
                </c:pt>
                <c:pt idx="1108">
                  <c:v>221.59999999999596</c:v>
                </c:pt>
                <c:pt idx="1109">
                  <c:v>221.79999999999595</c:v>
                </c:pt>
                <c:pt idx="1110">
                  <c:v>221.99999999999594</c:v>
                </c:pt>
                <c:pt idx="1111">
                  <c:v>222.19999999999592</c:v>
                </c:pt>
                <c:pt idx="1112">
                  <c:v>222.39999999999591</c:v>
                </c:pt>
                <c:pt idx="1113">
                  <c:v>222.5999999999959</c:v>
                </c:pt>
                <c:pt idx="1114">
                  <c:v>222.79999999999589</c:v>
                </c:pt>
                <c:pt idx="1115">
                  <c:v>222.99999999999588</c:v>
                </c:pt>
                <c:pt idx="1116">
                  <c:v>223.19999999999587</c:v>
                </c:pt>
                <c:pt idx="1117">
                  <c:v>223.39999999999586</c:v>
                </c:pt>
                <c:pt idx="1118">
                  <c:v>223.59999999999584</c:v>
                </c:pt>
                <c:pt idx="1119">
                  <c:v>223.79999999999583</c:v>
                </c:pt>
                <c:pt idx="1120">
                  <c:v>223.99999999999582</c:v>
                </c:pt>
                <c:pt idx="1121">
                  <c:v>224.19999999999581</c:v>
                </c:pt>
                <c:pt idx="1122">
                  <c:v>224.3999999999958</c:v>
                </c:pt>
                <c:pt idx="1123">
                  <c:v>224.59999999999579</c:v>
                </c:pt>
                <c:pt idx="1124">
                  <c:v>224.79999999999578</c:v>
                </c:pt>
                <c:pt idx="1125">
                  <c:v>224.99999999999577</c:v>
                </c:pt>
                <c:pt idx="1126">
                  <c:v>225.19999999999575</c:v>
                </c:pt>
                <c:pt idx="1127">
                  <c:v>225.39999999999574</c:v>
                </c:pt>
                <c:pt idx="1128">
                  <c:v>225.59999999999573</c:v>
                </c:pt>
                <c:pt idx="1129">
                  <c:v>225.79999999999572</c:v>
                </c:pt>
                <c:pt idx="1130">
                  <c:v>225.99999999999571</c:v>
                </c:pt>
                <c:pt idx="1131">
                  <c:v>226.1999999999957</c:v>
                </c:pt>
                <c:pt idx="1132">
                  <c:v>226.39999999999569</c:v>
                </c:pt>
                <c:pt idx="1133">
                  <c:v>226.59999999999567</c:v>
                </c:pt>
                <c:pt idx="1134">
                  <c:v>226.79999999999566</c:v>
                </c:pt>
                <c:pt idx="1135">
                  <c:v>226.99999999999565</c:v>
                </c:pt>
                <c:pt idx="1136">
                  <c:v>227.19999999999564</c:v>
                </c:pt>
                <c:pt idx="1137">
                  <c:v>227.39999999999563</c:v>
                </c:pt>
                <c:pt idx="1138">
                  <c:v>227.59999999999562</c:v>
                </c:pt>
                <c:pt idx="1139">
                  <c:v>227.79999999999561</c:v>
                </c:pt>
                <c:pt idx="1140">
                  <c:v>227.99999999999559</c:v>
                </c:pt>
                <c:pt idx="1141">
                  <c:v>228.19999999999558</c:v>
                </c:pt>
                <c:pt idx="1142">
                  <c:v>228.39999999999557</c:v>
                </c:pt>
                <c:pt idx="1143">
                  <c:v>228.59999999999556</c:v>
                </c:pt>
                <c:pt idx="1144">
                  <c:v>228.79999999999555</c:v>
                </c:pt>
                <c:pt idx="1145">
                  <c:v>228.99999999999554</c:v>
                </c:pt>
                <c:pt idx="1146">
                  <c:v>229.19999999999553</c:v>
                </c:pt>
                <c:pt idx="1147">
                  <c:v>229.39999999999552</c:v>
                </c:pt>
                <c:pt idx="1148">
                  <c:v>229.5999999999955</c:v>
                </c:pt>
                <c:pt idx="1149">
                  <c:v>229.79999999999549</c:v>
                </c:pt>
                <c:pt idx="1150">
                  <c:v>229.99999999999548</c:v>
                </c:pt>
                <c:pt idx="1151">
                  <c:v>230.19999999999547</c:v>
                </c:pt>
                <c:pt idx="1152">
                  <c:v>230.39999999999546</c:v>
                </c:pt>
                <c:pt idx="1153">
                  <c:v>230.59999999999545</c:v>
                </c:pt>
                <c:pt idx="1154">
                  <c:v>230.79999999999544</c:v>
                </c:pt>
                <c:pt idx="1155">
                  <c:v>230.99999999999542</c:v>
                </c:pt>
                <c:pt idx="1156">
                  <c:v>231.19999999999541</c:v>
                </c:pt>
                <c:pt idx="1157">
                  <c:v>231.3999999999954</c:v>
                </c:pt>
                <c:pt idx="1158">
                  <c:v>231.59999999999539</c:v>
                </c:pt>
                <c:pt idx="1159">
                  <c:v>231.79999999999538</c:v>
                </c:pt>
                <c:pt idx="1160">
                  <c:v>231.99999999999537</c:v>
                </c:pt>
                <c:pt idx="1161">
                  <c:v>232.19999999999536</c:v>
                </c:pt>
                <c:pt idx="1162">
                  <c:v>232.39999999999534</c:v>
                </c:pt>
                <c:pt idx="1163">
                  <c:v>232.59999999999533</c:v>
                </c:pt>
                <c:pt idx="1164">
                  <c:v>232.79999999999532</c:v>
                </c:pt>
                <c:pt idx="1165">
                  <c:v>232.99999999999531</c:v>
                </c:pt>
                <c:pt idx="1166">
                  <c:v>233.1999999999953</c:v>
                </c:pt>
                <c:pt idx="1167">
                  <c:v>233.39999999999529</c:v>
                </c:pt>
                <c:pt idx="1168">
                  <c:v>233.59999999999528</c:v>
                </c:pt>
                <c:pt idx="1169">
                  <c:v>233.79999999999526</c:v>
                </c:pt>
                <c:pt idx="1170">
                  <c:v>233.99999999999525</c:v>
                </c:pt>
                <c:pt idx="1171">
                  <c:v>234.19999999999524</c:v>
                </c:pt>
                <c:pt idx="1172">
                  <c:v>234.39999999999523</c:v>
                </c:pt>
                <c:pt idx="1173">
                  <c:v>234.59999999999522</c:v>
                </c:pt>
                <c:pt idx="1174">
                  <c:v>234.79999999999521</c:v>
                </c:pt>
                <c:pt idx="1175">
                  <c:v>234.9999999999952</c:v>
                </c:pt>
                <c:pt idx="1176">
                  <c:v>235.19999999999519</c:v>
                </c:pt>
                <c:pt idx="1177">
                  <c:v>235.39999999999517</c:v>
                </c:pt>
                <c:pt idx="1178">
                  <c:v>235.59999999999516</c:v>
                </c:pt>
                <c:pt idx="1179">
                  <c:v>235.79999999999515</c:v>
                </c:pt>
                <c:pt idx="1180">
                  <c:v>235.99999999999514</c:v>
                </c:pt>
                <c:pt idx="1181">
                  <c:v>236.19999999999513</c:v>
                </c:pt>
                <c:pt idx="1182">
                  <c:v>236.39999999999512</c:v>
                </c:pt>
                <c:pt idx="1183">
                  <c:v>236.59999999999511</c:v>
                </c:pt>
                <c:pt idx="1184">
                  <c:v>236.79999999999509</c:v>
                </c:pt>
                <c:pt idx="1185">
                  <c:v>236.99999999999508</c:v>
                </c:pt>
                <c:pt idx="1186">
                  <c:v>237.19999999999507</c:v>
                </c:pt>
                <c:pt idx="1187">
                  <c:v>237.39999999999506</c:v>
                </c:pt>
                <c:pt idx="1188">
                  <c:v>237.59999999999505</c:v>
                </c:pt>
                <c:pt idx="1189">
                  <c:v>237.79999999999504</c:v>
                </c:pt>
                <c:pt idx="1190">
                  <c:v>237.99999999999503</c:v>
                </c:pt>
                <c:pt idx="1191">
                  <c:v>238.19999999999501</c:v>
                </c:pt>
                <c:pt idx="1192">
                  <c:v>238.399999999995</c:v>
                </c:pt>
                <c:pt idx="1193">
                  <c:v>238.59999999999499</c:v>
                </c:pt>
                <c:pt idx="1194">
                  <c:v>238.79999999999498</c:v>
                </c:pt>
                <c:pt idx="1195">
                  <c:v>238.99999999999497</c:v>
                </c:pt>
                <c:pt idx="1196">
                  <c:v>239.19999999999496</c:v>
                </c:pt>
                <c:pt idx="1197">
                  <c:v>239.39999999999495</c:v>
                </c:pt>
                <c:pt idx="1198">
                  <c:v>239.59999999999494</c:v>
                </c:pt>
                <c:pt idx="1199">
                  <c:v>239.79999999999492</c:v>
                </c:pt>
                <c:pt idx="1200">
                  <c:v>239.99999999999491</c:v>
                </c:pt>
                <c:pt idx="1201">
                  <c:v>240.1999999999949</c:v>
                </c:pt>
                <c:pt idx="1202">
                  <c:v>240.39999999999489</c:v>
                </c:pt>
                <c:pt idx="1203">
                  <c:v>240.59999999999488</c:v>
                </c:pt>
                <c:pt idx="1204">
                  <c:v>240.79999999999487</c:v>
                </c:pt>
                <c:pt idx="1205">
                  <c:v>240.99999999999486</c:v>
                </c:pt>
                <c:pt idx="1206">
                  <c:v>241.19999999999484</c:v>
                </c:pt>
                <c:pt idx="1207">
                  <c:v>241.39999999999483</c:v>
                </c:pt>
                <c:pt idx="1208">
                  <c:v>241.59999999999482</c:v>
                </c:pt>
                <c:pt idx="1209">
                  <c:v>241.79999999999481</c:v>
                </c:pt>
                <c:pt idx="1210">
                  <c:v>241.9999999999948</c:v>
                </c:pt>
                <c:pt idx="1211">
                  <c:v>242.19999999999479</c:v>
                </c:pt>
                <c:pt idx="1212">
                  <c:v>242.39999999999478</c:v>
                </c:pt>
                <c:pt idx="1213">
                  <c:v>242.59999999999476</c:v>
                </c:pt>
                <c:pt idx="1214">
                  <c:v>242.79999999999475</c:v>
                </c:pt>
                <c:pt idx="1215">
                  <c:v>242.99999999999474</c:v>
                </c:pt>
                <c:pt idx="1216">
                  <c:v>243.19999999999473</c:v>
                </c:pt>
                <c:pt idx="1217">
                  <c:v>243.39999999999472</c:v>
                </c:pt>
                <c:pt idx="1218">
                  <c:v>243.59999999999471</c:v>
                </c:pt>
                <c:pt idx="1219">
                  <c:v>243.7999999999947</c:v>
                </c:pt>
                <c:pt idx="1220">
                  <c:v>243.99999999999469</c:v>
                </c:pt>
                <c:pt idx="1221">
                  <c:v>244.19999999999467</c:v>
                </c:pt>
                <c:pt idx="1222">
                  <c:v>244.39999999999466</c:v>
                </c:pt>
                <c:pt idx="1223">
                  <c:v>244.59999999999465</c:v>
                </c:pt>
                <c:pt idx="1224">
                  <c:v>244.79999999999464</c:v>
                </c:pt>
                <c:pt idx="1225">
                  <c:v>244.99999999999463</c:v>
                </c:pt>
                <c:pt idx="1226">
                  <c:v>245.19999999999462</c:v>
                </c:pt>
                <c:pt idx="1227">
                  <c:v>245.39999999999461</c:v>
                </c:pt>
                <c:pt idx="1228">
                  <c:v>245.59999999999459</c:v>
                </c:pt>
                <c:pt idx="1229">
                  <c:v>245.79999999999458</c:v>
                </c:pt>
                <c:pt idx="1230">
                  <c:v>245.99999999999457</c:v>
                </c:pt>
                <c:pt idx="1231">
                  <c:v>246.19999999999456</c:v>
                </c:pt>
                <c:pt idx="1232">
                  <c:v>246.39999999999455</c:v>
                </c:pt>
                <c:pt idx="1233">
                  <c:v>246.59999999999454</c:v>
                </c:pt>
                <c:pt idx="1234">
                  <c:v>246.79999999999453</c:v>
                </c:pt>
                <c:pt idx="1235">
                  <c:v>246.99999999999451</c:v>
                </c:pt>
                <c:pt idx="1236">
                  <c:v>247.1999999999945</c:v>
                </c:pt>
                <c:pt idx="1237">
                  <c:v>247.39999999999449</c:v>
                </c:pt>
                <c:pt idx="1238">
                  <c:v>247.59999999999448</c:v>
                </c:pt>
                <c:pt idx="1239">
                  <c:v>247.79999999999447</c:v>
                </c:pt>
                <c:pt idx="1240">
                  <c:v>247.99999999999446</c:v>
                </c:pt>
                <c:pt idx="1241">
                  <c:v>248.19999999999445</c:v>
                </c:pt>
                <c:pt idx="1242">
                  <c:v>248.39999999999444</c:v>
                </c:pt>
                <c:pt idx="1243">
                  <c:v>248.59999999999442</c:v>
                </c:pt>
                <c:pt idx="1244">
                  <c:v>248.79999999999441</c:v>
                </c:pt>
                <c:pt idx="1245">
                  <c:v>248.9999999999944</c:v>
                </c:pt>
                <c:pt idx="1246">
                  <c:v>249.19999999999439</c:v>
                </c:pt>
                <c:pt idx="1247">
                  <c:v>249.39999999999438</c:v>
                </c:pt>
                <c:pt idx="1248">
                  <c:v>249.59999999999437</c:v>
                </c:pt>
                <c:pt idx="1249">
                  <c:v>249.79999999999436</c:v>
                </c:pt>
                <c:pt idx="1250">
                  <c:v>249.99999999999434</c:v>
                </c:pt>
                <c:pt idx="1251">
                  <c:v>250.19999999999433</c:v>
                </c:pt>
                <c:pt idx="1252">
                  <c:v>250.39999999999432</c:v>
                </c:pt>
                <c:pt idx="1253">
                  <c:v>250.59999999999431</c:v>
                </c:pt>
                <c:pt idx="1254">
                  <c:v>250.7999999999943</c:v>
                </c:pt>
                <c:pt idx="1255">
                  <c:v>250.99999999999429</c:v>
                </c:pt>
                <c:pt idx="1256">
                  <c:v>251.19999999999428</c:v>
                </c:pt>
                <c:pt idx="1257">
                  <c:v>251.39999999999426</c:v>
                </c:pt>
                <c:pt idx="1258">
                  <c:v>251.59999999999425</c:v>
                </c:pt>
                <c:pt idx="1259">
                  <c:v>251.79999999999424</c:v>
                </c:pt>
                <c:pt idx="1260">
                  <c:v>251.99999999999423</c:v>
                </c:pt>
                <c:pt idx="1261">
                  <c:v>252.19999999999422</c:v>
                </c:pt>
                <c:pt idx="1262">
                  <c:v>252.39999999999421</c:v>
                </c:pt>
                <c:pt idx="1263">
                  <c:v>252.5999999999942</c:v>
                </c:pt>
                <c:pt idx="1264">
                  <c:v>252.79999999999418</c:v>
                </c:pt>
                <c:pt idx="1265">
                  <c:v>252.99999999999417</c:v>
                </c:pt>
                <c:pt idx="1266">
                  <c:v>253.19999999999416</c:v>
                </c:pt>
                <c:pt idx="1267">
                  <c:v>253.39999999999415</c:v>
                </c:pt>
                <c:pt idx="1268">
                  <c:v>253.59999999999414</c:v>
                </c:pt>
                <c:pt idx="1269">
                  <c:v>253.79999999999413</c:v>
                </c:pt>
                <c:pt idx="1270">
                  <c:v>253.99999999999412</c:v>
                </c:pt>
                <c:pt idx="1271">
                  <c:v>254.19999999999411</c:v>
                </c:pt>
                <c:pt idx="1272">
                  <c:v>254.39999999999409</c:v>
                </c:pt>
                <c:pt idx="1273">
                  <c:v>254.59999999999408</c:v>
                </c:pt>
                <c:pt idx="1274">
                  <c:v>254.79999999999407</c:v>
                </c:pt>
                <c:pt idx="1275">
                  <c:v>254.99999999999406</c:v>
                </c:pt>
                <c:pt idx="1276">
                  <c:v>255.19999999999405</c:v>
                </c:pt>
                <c:pt idx="1277">
                  <c:v>255.39999999999404</c:v>
                </c:pt>
                <c:pt idx="1278">
                  <c:v>255.59999999999403</c:v>
                </c:pt>
                <c:pt idx="1279">
                  <c:v>255.79999999999401</c:v>
                </c:pt>
                <c:pt idx="1280">
                  <c:v>255.999999999994</c:v>
                </c:pt>
                <c:pt idx="1281">
                  <c:v>256.19999999999402</c:v>
                </c:pt>
                <c:pt idx="1282">
                  <c:v>256.39999999999401</c:v>
                </c:pt>
                <c:pt idx="1283">
                  <c:v>256.599999999994</c:v>
                </c:pt>
                <c:pt idx="1284">
                  <c:v>256.79999999999399</c:v>
                </c:pt>
                <c:pt idx="1285">
                  <c:v>256.99999999999397</c:v>
                </c:pt>
                <c:pt idx="1286">
                  <c:v>257.19999999999396</c:v>
                </c:pt>
                <c:pt idx="1287">
                  <c:v>257.39999999999395</c:v>
                </c:pt>
                <c:pt idx="1288">
                  <c:v>257.59999999999394</c:v>
                </c:pt>
                <c:pt idx="1289">
                  <c:v>257.79999999999393</c:v>
                </c:pt>
                <c:pt idx="1290">
                  <c:v>257.99999999999392</c:v>
                </c:pt>
                <c:pt idx="1291">
                  <c:v>258.19999999999391</c:v>
                </c:pt>
                <c:pt idx="1292">
                  <c:v>258.3999999999939</c:v>
                </c:pt>
                <c:pt idx="1293">
                  <c:v>258.59999999999388</c:v>
                </c:pt>
                <c:pt idx="1294">
                  <c:v>258.79999999999387</c:v>
                </c:pt>
                <c:pt idx="1295">
                  <c:v>258.99999999999386</c:v>
                </c:pt>
                <c:pt idx="1296">
                  <c:v>259.19999999999385</c:v>
                </c:pt>
                <c:pt idx="1297">
                  <c:v>259.39999999999384</c:v>
                </c:pt>
                <c:pt idx="1298">
                  <c:v>259.59999999999383</c:v>
                </c:pt>
                <c:pt idx="1299">
                  <c:v>259.79999999999382</c:v>
                </c:pt>
                <c:pt idx="1300">
                  <c:v>259.9999999999938</c:v>
                </c:pt>
                <c:pt idx="1301">
                  <c:v>260.19999999999379</c:v>
                </c:pt>
                <c:pt idx="1302">
                  <c:v>260.39999999999378</c:v>
                </c:pt>
                <c:pt idx="1303">
                  <c:v>260.59999999999377</c:v>
                </c:pt>
                <c:pt idx="1304">
                  <c:v>260.79999999999376</c:v>
                </c:pt>
                <c:pt idx="1305">
                  <c:v>260.99999999999375</c:v>
                </c:pt>
                <c:pt idx="1306">
                  <c:v>261.19999999999374</c:v>
                </c:pt>
                <c:pt idx="1307">
                  <c:v>261.39999999999372</c:v>
                </c:pt>
                <c:pt idx="1308">
                  <c:v>261.59999999999371</c:v>
                </c:pt>
                <c:pt idx="1309">
                  <c:v>261.7999999999937</c:v>
                </c:pt>
                <c:pt idx="1310">
                  <c:v>261.99999999999369</c:v>
                </c:pt>
                <c:pt idx="1311">
                  <c:v>262.19999999999368</c:v>
                </c:pt>
                <c:pt idx="1312">
                  <c:v>262.39999999999367</c:v>
                </c:pt>
                <c:pt idx="1313">
                  <c:v>262.59999999999366</c:v>
                </c:pt>
                <c:pt idx="1314">
                  <c:v>262.79999999999364</c:v>
                </c:pt>
                <c:pt idx="1315">
                  <c:v>262.99999999999363</c:v>
                </c:pt>
                <c:pt idx="1316">
                  <c:v>263.19999999999362</c:v>
                </c:pt>
                <c:pt idx="1317">
                  <c:v>263.39999999999361</c:v>
                </c:pt>
                <c:pt idx="1318">
                  <c:v>263.5999999999936</c:v>
                </c:pt>
                <c:pt idx="1319">
                  <c:v>263.79999999999359</c:v>
                </c:pt>
                <c:pt idx="1320">
                  <c:v>263.99999999999358</c:v>
                </c:pt>
                <c:pt idx="1321">
                  <c:v>264.19999999999357</c:v>
                </c:pt>
                <c:pt idx="1322">
                  <c:v>264.39999999999355</c:v>
                </c:pt>
                <c:pt idx="1323">
                  <c:v>264.59999999999354</c:v>
                </c:pt>
                <c:pt idx="1324">
                  <c:v>264.79999999999353</c:v>
                </c:pt>
                <c:pt idx="1325">
                  <c:v>264.99999999999352</c:v>
                </c:pt>
                <c:pt idx="1326">
                  <c:v>265.19999999999351</c:v>
                </c:pt>
                <c:pt idx="1327">
                  <c:v>265.3999999999935</c:v>
                </c:pt>
                <c:pt idx="1328">
                  <c:v>265.59999999999349</c:v>
                </c:pt>
                <c:pt idx="1329">
                  <c:v>265.79999999999347</c:v>
                </c:pt>
                <c:pt idx="1330">
                  <c:v>265.99999999999346</c:v>
                </c:pt>
                <c:pt idx="1331">
                  <c:v>266.19999999999345</c:v>
                </c:pt>
                <c:pt idx="1332">
                  <c:v>266.39999999999344</c:v>
                </c:pt>
                <c:pt idx="1333">
                  <c:v>266.59999999999343</c:v>
                </c:pt>
                <c:pt idx="1334">
                  <c:v>266.79999999999342</c:v>
                </c:pt>
                <c:pt idx="1335">
                  <c:v>266.99999999999341</c:v>
                </c:pt>
                <c:pt idx="1336">
                  <c:v>267.19999999999339</c:v>
                </c:pt>
                <c:pt idx="1337">
                  <c:v>267.39999999999338</c:v>
                </c:pt>
                <c:pt idx="1338">
                  <c:v>267.59999999999337</c:v>
                </c:pt>
                <c:pt idx="1339">
                  <c:v>267.79999999999336</c:v>
                </c:pt>
                <c:pt idx="1340">
                  <c:v>267.99999999999335</c:v>
                </c:pt>
                <c:pt idx="1341">
                  <c:v>268.19999999999334</c:v>
                </c:pt>
                <c:pt idx="1342">
                  <c:v>268.39999999999333</c:v>
                </c:pt>
                <c:pt idx="1343">
                  <c:v>268.59999999999332</c:v>
                </c:pt>
                <c:pt idx="1344">
                  <c:v>268.7999999999933</c:v>
                </c:pt>
                <c:pt idx="1345">
                  <c:v>268.99999999999329</c:v>
                </c:pt>
                <c:pt idx="1346">
                  <c:v>269.19999999999328</c:v>
                </c:pt>
                <c:pt idx="1347">
                  <c:v>269.39999999999327</c:v>
                </c:pt>
                <c:pt idx="1348">
                  <c:v>269.59999999999326</c:v>
                </c:pt>
                <c:pt idx="1349">
                  <c:v>269.79999999999325</c:v>
                </c:pt>
                <c:pt idx="1350">
                  <c:v>269.99999999999324</c:v>
                </c:pt>
                <c:pt idx="1351">
                  <c:v>270.19999999999322</c:v>
                </c:pt>
                <c:pt idx="1352">
                  <c:v>270.39999999999321</c:v>
                </c:pt>
                <c:pt idx="1353">
                  <c:v>270.5999999999932</c:v>
                </c:pt>
                <c:pt idx="1354">
                  <c:v>270.79999999999319</c:v>
                </c:pt>
                <c:pt idx="1355">
                  <c:v>270.99999999999318</c:v>
                </c:pt>
                <c:pt idx="1356">
                  <c:v>271.19999999999317</c:v>
                </c:pt>
                <c:pt idx="1357">
                  <c:v>271.39999999999316</c:v>
                </c:pt>
                <c:pt idx="1358">
                  <c:v>271.59999999999314</c:v>
                </c:pt>
                <c:pt idx="1359">
                  <c:v>271.79999999999313</c:v>
                </c:pt>
                <c:pt idx="1360">
                  <c:v>271.99999999999312</c:v>
                </c:pt>
                <c:pt idx="1361">
                  <c:v>272.19999999999311</c:v>
                </c:pt>
                <c:pt idx="1362">
                  <c:v>272.3999999999931</c:v>
                </c:pt>
                <c:pt idx="1363">
                  <c:v>272.59999999999309</c:v>
                </c:pt>
                <c:pt idx="1364">
                  <c:v>272.79999999999308</c:v>
                </c:pt>
                <c:pt idx="1365">
                  <c:v>272.99999999999307</c:v>
                </c:pt>
                <c:pt idx="1366">
                  <c:v>273.19999999999305</c:v>
                </c:pt>
                <c:pt idx="1367">
                  <c:v>273.39999999999304</c:v>
                </c:pt>
                <c:pt idx="1368">
                  <c:v>273.59999999999303</c:v>
                </c:pt>
                <c:pt idx="1369">
                  <c:v>273.79999999999302</c:v>
                </c:pt>
                <c:pt idx="1370">
                  <c:v>273.99999999999301</c:v>
                </c:pt>
                <c:pt idx="1371">
                  <c:v>274.199999999993</c:v>
                </c:pt>
                <c:pt idx="1372">
                  <c:v>274.39999999999299</c:v>
                </c:pt>
                <c:pt idx="1373">
                  <c:v>274.59999999999297</c:v>
                </c:pt>
                <c:pt idx="1374">
                  <c:v>274.79999999999296</c:v>
                </c:pt>
                <c:pt idx="1375">
                  <c:v>274.99999999999295</c:v>
                </c:pt>
                <c:pt idx="1376">
                  <c:v>275.19999999999294</c:v>
                </c:pt>
                <c:pt idx="1377">
                  <c:v>275.39999999999293</c:v>
                </c:pt>
                <c:pt idx="1378">
                  <c:v>275.59999999999292</c:v>
                </c:pt>
                <c:pt idx="1379">
                  <c:v>275.79999999999291</c:v>
                </c:pt>
                <c:pt idx="1380">
                  <c:v>275.99999999999289</c:v>
                </c:pt>
                <c:pt idx="1381">
                  <c:v>276.19999999999288</c:v>
                </c:pt>
                <c:pt idx="1382">
                  <c:v>276.39999999999287</c:v>
                </c:pt>
                <c:pt idx="1383">
                  <c:v>276.59999999999286</c:v>
                </c:pt>
                <c:pt idx="1384">
                  <c:v>276.79999999999285</c:v>
                </c:pt>
                <c:pt idx="1385">
                  <c:v>276.99999999999284</c:v>
                </c:pt>
                <c:pt idx="1386">
                  <c:v>277.19999999999283</c:v>
                </c:pt>
                <c:pt idx="1387">
                  <c:v>277.39999999999281</c:v>
                </c:pt>
                <c:pt idx="1388">
                  <c:v>277.5999999999928</c:v>
                </c:pt>
                <c:pt idx="1389">
                  <c:v>277.79999999999279</c:v>
                </c:pt>
                <c:pt idx="1390">
                  <c:v>277.99999999999278</c:v>
                </c:pt>
                <c:pt idx="1391">
                  <c:v>278.19999999999277</c:v>
                </c:pt>
                <c:pt idx="1392">
                  <c:v>278.39999999999276</c:v>
                </c:pt>
                <c:pt idx="1393">
                  <c:v>278.59999999999275</c:v>
                </c:pt>
                <c:pt idx="1394">
                  <c:v>278.79999999999274</c:v>
                </c:pt>
                <c:pt idx="1395">
                  <c:v>278.99999999999272</c:v>
                </c:pt>
                <c:pt idx="1396">
                  <c:v>279.19999999999271</c:v>
                </c:pt>
                <c:pt idx="1397">
                  <c:v>279.3999999999927</c:v>
                </c:pt>
                <c:pt idx="1398">
                  <c:v>279.59999999999269</c:v>
                </c:pt>
                <c:pt idx="1399">
                  <c:v>279.79999999999268</c:v>
                </c:pt>
                <c:pt idx="1400">
                  <c:v>279.99999999999267</c:v>
                </c:pt>
                <c:pt idx="1401">
                  <c:v>280.19999999999266</c:v>
                </c:pt>
                <c:pt idx="1402">
                  <c:v>280.39999999999264</c:v>
                </c:pt>
                <c:pt idx="1403">
                  <c:v>280.59999999999263</c:v>
                </c:pt>
                <c:pt idx="1404">
                  <c:v>280.79999999999262</c:v>
                </c:pt>
                <c:pt idx="1405">
                  <c:v>280.99999999999261</c:v>
                </c:pt>
                <c:pt idx="1406">
                  <c:v>281.1999999999926</c:v>
                </c:pt>
                <c:pt idx="1407">
                  <c:v>281.39999999999259</c:v>
                </c:pt>
                <c:pt idx="1408">
                  <c:v>281.59999999999258</c:v>
                </c:pt>
                <c:pt idx="1409">
                  <c:v>281.79999999999256</c:v>
                </c:pt>
                <c:pt idx="1410">
                  <c:v>281.99999999999255</c:v>
                </c:pt>
                <c:pt idx="1411">
                  <c:v>282.19999999999254</c:v>
                </c:pt>
                <c:pt idx="1412">
                  <c:v>282.39999999999253</c:v>
                </c:pt>
                <c:pt idx="1413">
                  <c:v>282.59999999999252</c:v>
                </c:pt>
                <c:pt idx="1414">
                  <c:v>282.79999999999251</c:v>
                </c:pt>
                <c:pt idx="1415">
                  <c:v>282.9999999999925</c:v>
                </c:pt>
                <c:pt idx="1416">
                  <c:v>283.19999999999249</c:v>
                </c:pt>
                <c:pt idx="1417">
                  <c:v>283.39999999999247</c:v>
                </c:pt>
                <c:pt idx="1418">
                  <c:v>283.59999999999246</c:v>
                </c:pt>
                <c:pt idx="1419">
                  <c:v>283.79999999999245</c:v>
                </c:pt>
                <c:pt idx="1420">
                  <c:v>283.99999999999244</c:v>
                </c:pt>
                <c:pt idx="1421">
                  <c:v>284.19999999999243</c:v>
                </c:pt>
                <c:pt idx="1422">
                  <c:v>284.39999999999242</c:v>
                </c:pt>
                <c:pt idx="1423">
                  <c:v>284.59999999999241</c:v>
                </c:pt>
                <c:pt idx="1424">
                  <c:v>284.79999999999239</c:v>
                </c:pt>
                <c:pt idx="1425">
                  <c:v>284.99999999999238</c:v>
                </c:pt>
                <c:pt idx="1426">
                  <c:v>285.19999999999237</c:v>
                </c:pt>
                <c:pt idx="1427">
                  <c:v>285.39999999999236</c:v>
                </c:pt>
                <c:pt idx="1428">
                  <c:v>285.59999999999235</c:v>
                </c:pt>
                <c:pt idx="1429">
                  <c:v>285.79999999999234</c:v>
                </c:pt>
                <c:pt idx="1430">
                  <c:v>285.99999999999233</c:v>
                </c:pt>
                <c:pt idx="1431">
                  <c:v>286.19999999999231</c:v>
                </c:pt>
                <c:pt idx="1432">
                  <c:v>286.3999999999923</c:v>
                </c:pt>
                <c:pt idx="1433">
                  <c:v>286.59999999999229</c:v>
                </c:pt>
                <c:pt idx="1434">
                  <c:v>286.79999999999228</c:v>
                </c:pt>
                <c:pt idx="1435">
                  <c:v>286.99999999999227</c:v>
                </c:pt>
                <c:pt idx="1436">
                  <c:v>287.19999999999226</c:v>
                </c:pt>
                <c:pt idx="1437">
                  <c:v>287.39999999999225</c:v>
                </c:pt>
                <c:pt idx="1438">
                  <c:v>287.59999999999224</c:v>
                </c:pt>
                <c:pt idx="1439">
                  <c:v>287.79999999999222</c:v>
                </c:pt>
                <c:pt idx="1440">
                  <c:v>287.99999999999221</c:v>
                </c:pt>
                <c:pt idx="1441">
                  <c:v>288.1999999999922</c:v>
                </c:pt>
                <c:pt idx="1442">
                  <c:v>288.39999999999219</c:v>
                </c:pt>
                <c:pt idx="1443">
                  <c:v>288.59999999999218</c:v>
                </c:pt>
                <c:pt idx="1444">
                  <c:v>288.79999999999217</c:v>
                </c:pt>
                <c:pt idx="1445">
                  <c:v>288.99999999999216</c:v>
                </c:pt>
                <c:pt idx="1446">
                  <c:v>289.19999999999214</c:v>
                </c:pt>
                <c:pt idx="1447">
                  <c:v>289.39999999999213</c:v>
                </c:pt>
                <c:pt idx="1448">
                  <c:v>289.59999999999212</c:v>
                </c:pt>
                <c:pt idx="1449">
                  <c:v>289.79999999999211</c:v>
                </c:pt>
                <c:pt idx="1450">
                  <c:v>289.9999999999921</c:v>
                </c:pt>
                <c:pt idx="1451">
                  <c:v>290.19999999999209</c:v>
                </c:pt>
                <c:pt idx="1452">
                  <c:v>290.39999999999208</c:v>
                </c:pt>
                <c:pt idx="1453">
                  <c:v>290.59999999999206</c:v>
                </c:pt>
                <c:pt idx="1454">
                  <c:v>290.79999999999205</c:v>
                </c:pt>
                <c:pt idx="1455">
                  <c:v>290.99999999999204</c:v>
                </c:pt>
                <c:pt idx="1456">
                  <c:v>291.19999999999203</c:v>
                </c:pt>
                <c:pt idx="1457">
                  <c:v>291.39999999999202</c:v>
                </c:pt>
                <c:pt idx="1458">
                  <c:v>291.59999999999201</c:v>
                </c:pt>
                <c:pt idx="1459">
                  <c:v>291.799999999992</c:v>
                </c:pt>
                <c:pt idx="1460">
                  <c:v>291.99999999999199</c:v>
                </c:pt>
                <c:pt idx="1461">
                  <c:v>292.19999999999197</c:v>
                </c:pt>
                <c:pt idx="1462">
                  <c:v>292.39999999999196</c:v>
                </c:pt>
                <c:pt idx="1463">
                  <c:v>292.59999999999195</c:v>
                </c:pt>
                <c:pt idx="1464">
                  <c:v>292.79999999999194</c:v>
                </c:pt>
                <c:pt idx="1465">
                  <c:v>292.99999999999193</c:v>
                </c:pt>
                <c:pt idx="1466">
                  <c:v>293.19999999999192</c:v>
                </c:pt>
                <c:pt idx="1467">
                  <c:v>293.39999999999191</c:v>
                </c:pt>
                <c:pt idx="1468">
                  <c:v>293.59999999999189</c:v>
                </c:pt>
                <c:pt idx="1469">
                  <c:v>293.79999999999188</c:v>
                </c:pt>
                <c:pt idx="1470">
                  <c:v>293.99999999999187</c:v>
                </c:pt>
                <c:pt idx="1471">
                  <c:v>294.19999999999186</c:v>
                </c:pt>
                <c:pt idx="1472">
                  <c:v>294.39999999999185</c:v>
                </c:pt>
                <c:pt idx="1473">
                  <c:v>294.59999999999184</c:v>
                </c:pt>
                <c:pt idx="1474">
                  <c:v>294.79999999999183</c:v>
                </c:pt>
                <c:pt idx="1475">
                  <c:v>294.99999999999181</c:v>
                </c:pt>
                <c:pt idx="1476">
                  <c:v>295.1999999999918</c:v>
                </c:pt>
                <c:pt idx="1477">
                  <c:v>295.39999999999179</c:v>
                </c:pt>
                <c:pt idx="1478">
                  <c:v>295.59999999999178</c:v>
                </c:pt>
                <c:pt idx="1479">
                  <c:v>295.79999999999177</c:v>
                </c:pt>
                <c:pt idx="1480">
                  <c:v>295.99999999999176</c:v>
                </c:pt>
                <c:pt idx="1481">
                  <c:v>296.19999999999175</c:v>
                </c:pt>
                <c:pt idx="1482">
                  <c:v>296.39999999999173</c:v>
                </c:pt>
                <c:pt idx="1483">
                  <c:v>296.59999999999172</c:v>
                </c:pt>
                <c:pt idx="1484">
                  <c:v>296.79999999999171</c:v>
                </c:pt>
                <c:pt idx="1485">
                  <c:v>296.9999999999917</c:v>
                </c:pt>
                <c:pt idx="1486">
                  <c:v>297.19999999999169</c:v>
                </c:pt>
                <c:pt idx="1487">
                  <c:v>297.39999999999168</c:v>
                </c:pt>
                <c:pt idx="1488">
                  <c:v>297.59999999999167</c:v>
                </c:pt>
                <c:pt idx="1489">
                  <c:v>297.79999999999166</c:v>
                </c:pt>
                <c:pt idx="1490">
                  <c:v>297.99999999999164</c:v>
                </c:pt>
                <c:pt idx="1491">
                  <c:v>298.19999999999163</c:v>
                </c:pt>
                <c:pt idx="1492">
                  <c:v>298.39999999999162</c:v>
                </c:pt>
                <c:pt idx="1493">
                  <c:v>298.59999999999161</c:v>
                </c:pt>
                <c:pt idx="1494">
                  <c:v>298.7999999999916</c:v>
                </c:pt>
                <c:pt idx="1495">
                  <c:v>298.99999999999159</c:v>
                </c:pt>
                <c:pt idx="1496">
                  <c:v>299.19999999999158</c:v>
                </c:pt>
                <c:pt idx="1497">
                  <c:v>299.39999999999156</c:v>
                </c:pt>
                <c:pt idx="1498">
                  <c:v>299.59999999999155</c:v>
                </c:pt>
                <c:pt idx="1499">
                  <c:v>299.79999999999154</c:v>
                </c:pt>
                <c:pt idx="1500">
                  <c:v>299.99999999999153</c:v>
                </c:pt>
              </c:numCache>
            </c:numRef>
          </c:xVal>
          <c:yVal>
            <c:numRef>
              <c:f>'drive cycle'!$B$2:$B$1502</c:f>
              <c:numCache>
                <c:formatCode>0.0</c:formatCode>
                <c:ptCount val="1501"/>
                <c:pt idx="0">
                  <c:v>35.6</c:v>
                </c:pt>
                <c:pt idx="1">
                  <c:v>35.6</c:v>
                </c:pt>
                <c:pt idx="2">
                  <c:v>35.6</c:v>
                </c:pt>
                <c:pt idx="3">
                  <c:v>35.6</c:v>
                </c:pt>
                <c:pt idx="4">
                  <c:v>35.6</c:v>
                </c:pt>
                <c:pt idx="5">
                  <c:v>35.6</c:v>
                </c:pt>
                <c:pt idx="6">
                  <c:v>35.6</c:v>
                </c:pt>
                <c:pt idx="7">
                  <c:v>35.6</c:v>
                </c:pt>
                <c:pt idx="8">
                  <c:v>35.6</c:v>
                </c:pt>
                <c:pt idx="9">
                  <c:v>35.6</c:v>
                </c:pt>
                <c:pt idx="10">
                  <c:v>35.6</c:v>
                </c:pt>
                <c:pt idx="11">
                  <c:v>35.6</c:v>
                </c:pt>
                <c:pt idx="12">
                  <c:v>35.6</c:v>
                </c:pt>
                <c:pt idx="13">
                  <c:v>35.6</c:v>
                </c:pt>
                <c:pt idx="14">
                  <c:v>35.6</c:v>
                </c:pt>
                <c:pt idx="15">
                  <c:v>35.6</c:v>
                </c:pt>
                <c:pt idx="16">
                  <c:v>35.6</c:v>
                </c:pt>
                <c:pt idx="17">
                  <c:v>35.6</c:v>
                </c:pt>
                <c:pt idx="18">
                  <c:v>35.6</c:v>
                </c:pt>
                <c:pt idx="19">
                  <c:v>35.6</c:v>
                </c:pt>
                <c:pt idx="20">
                  <c:v>35.6</c:v>
                </c:pt>
                <c:pt idx="21">
                  <c:v>35.6</c:v>
                </c:pt>
                <c:pt idx="22">
                  <c:v>35.6</c:v>
                </c:pt>
                <c:pt idx="23">
                  <c:v>35.6</c:v>
                </c:pt>
                <c:pt idx="24">
                  <c:v>35.6</c:v>
                </c:pt>
                <c:pt idx="25">
                  <c:v>35.6</c:v>
                </c:pt>
                <c:pt idx="26">
                  <c:v>35.6</c:v>
                </c:pt>
                <c:pt idx="27">
                  <c:v>35.6</c:v>
                </c:pt>
                <c:pt idx="28">
                  <c:v>35.6</c:v>
                </c:pt>
                <c:pt idx="29">
                  <c:v>35.6</c:v>
                </c:pt>
                <c:pt idx="30">
                  <c:v>35.6</c:v>
                </c:pt>
                <c:pt idx="31">
                  <c:v>35.6</c:v>
                </c:pt>
                <c:pt idx="32">
                  <c:v>35.6</c:v>
                </c:pt>
                <c:pt idx="33">
                  <c:v>35.6</c:v>
                </c:pt>
                <c:pt idx="34">
                  <c:v>35.6</c:v>
                </c:pt>
                <c:pt idx="35">
                  <c:v>35.6</c:v>
                </c:pt>
                <c:pt idx="36">
                  <c:v>35.6</c:v>
                </c:pt>
                <c:pt idx="37">
                  <c:v>35.6</c:v>
                </c:pt>
                <c:pt idx="38">
                  <c:v>35.6</c:v>
                </c:pt>
                <c:pt idx="39">
                  <c:v>35.6</c:v>
                </c:pt>
                <c:pt idx="40">
                  <c:v>35.6</c:v>
                </c:pt>
                <c:pt idx="41">
                  <c:v>35.6</c:v>
                </c:pt>
                <c:pt idx="42">
                  <c:v>35.6</c:v>
                </c:pt>
                <c:pt idx="43">
                  <c:v>35.6</c:v>
                </c:pt>
                <c:pt idx="44">
                  <c:v>35.6</c:v>
                </c:pt>
                <c:pt idx="45">
                  <c:v>35.6</c:v>
                </c:pt>
                <c:pt idx="46">
                  <c:v>35.6</c:v>
                </c:pt>
                <c:pt idx="47">
                  <c:v>35.6</c:v>
                </c:pt>
                <c:pt idx="48">
                  <c:v>35.6</c:v>
                </c:pt>
                <c:pt idx="49">
                  <c:v>35.6</c:v>
                </c:pt>
                <c:pt idx="50">
                  <c:v>35.6</c:v>
                </c:pt>
                <c:pt idx="51">
                  <c:v>35.6</c:v>
                </c:pt>
                <c:pt idx="52">
                  <c:v>35.6</c:v>
                </c:pt>
                <c:pt idx="53">
                  <c:v>35.6</c:v>
                </c:pt>
                <c:pt idx="54">
                  <c:v>35.6</c:v>
                </c:pt>
                <c:pt idx="55">
                  <c:v>35.6</c:v>
                </c:pt>
                <c:pt idx="56">
                  <c:v>35.6</c:v>
                </c:pt>
                <c:pt idx="57">
                  <c:v>35.6</c:v>
                </c:pt>
                <c:pt idx="58">
                  <c:v>35.6</c:v>
                </c:pt>
                <c:pt idx="59">
                  <c:v>35.6</c:v>
                </c:pt>
                <c:pt idx="60">
                  <c:v>35.6</c:v>
                </c:pt>
                <c:pt idx="61">
                  <c:v>35.6</c:v>
                </c:pt>
                <c:pt idx="62">
                  <c:v>35.6</c:v>
                </c:pt>
                <c:pt idx="63">
                  <c:v>35.6</c:v>
                </c:pt>
                <c:pt idx="64">
                  <c:v>35.6</c:v>
                </c:pt>
                <c:pt idx="65">
                  <c:v>35.6</c:v>
                </c:pt>
                <c:pt idx="66">
                  <c:v>35.6</c:v>
                </c:pt>
                <c:pt idx="67">
                  <c:v>35.6</c:v>
                </c:pt>
                <c:pt idx="68">
                  <c:v>35.6</c:v>
                </c:pt>
                <c:pt idx="69">
                  <c:v>35.6</c:v>
                </c:pt>
                <c:pt idx="70">
                  <c:v>35.6</c:v>
                </c:pt>
                <c:pt idx="71">
                  <c:v>35.6</c:v>
                </c:pt>
                <c:pt idx="72">
                  <c:v>35.6</c:v>
                </c:pt>
                <c:pt idx="73">
                  <c:v>35.6</c:v>
                </c:pt>
                <c:pt idx="74">
                  <c:v>35.6</c:v>
                </c:pt>
                <c:pt idx="75">
                  <c:v>35.6</c:v>
                </c:pt>
                <c:pt idx="76">
                  <c:v>35.6</c:v>
                </c:pt>
                <c:pt idx="77">
                  <c:v>35.6</c:v>
                </c:pt>
                <c:pt idx="78">
                  <c:v>35.6</c:v>
                </c:pt>
                <c:pt idx="79">
                  <c:v>35.6</c:v>
                </c:pt>
                <c:pt idx="80">
                  <c:v>35.6</c:v>
                </c:pt>
                <c:pt idx="81">
                  <c:v>35.6</c:v>
                </c:pt>
                <c:pt idx="82">
                  <c:v>35.6</c:v>
                </c:pt>
                <c:pt idx="83">
                  <c:v>35.6</c:v>
                </c:pt>
                <c:pt idx="84">
                  <c:v>35.6</c:v>
                </c:pt>
                <c:pt idx="85">
                  <c:v>35.6</c:v>
                </c:pt>
                <c:pt idx="86">
                  <c:v>35.6</c:v>
                </c:pt>
                <c:pt idx="87">
                  <c:v>35.6</c:v>
                </c:pt>
                <c:pt idx="88">
                  <c:v>35.6</c:v>
                </c:pt>
                <c:pt idx="89">
                  <c:v>35.6</c:v>
                </c:pt>
                <c:pt idx="90">
                  <c:v>35.6</c:v>
                </c:pt>
                <c:pt idx="91">
                  <c:v>35.6</c:v>
                </c:pt>
                <c:pt idx="92">
                  <c:v>35.6</c:v>
                </c:pt>
                <c:pt idx="93">
                  <c:v>35.6</c:v>
                </c:pt>
                <c:pt idx="94">
                  <c:v>35.6</c:v>
                </c:pt>
                <c:pt idx="95">
                  <c:v>35.6</c:v>
                </c:pt>
                <c:pt idx="96">
                  <c:v>35.6</c:v>
                </c:pt>
                <c:pt idx="97">
                  <c:v>35.6</c:v>
                </c:pt>
                <c:pt idx="98">
                  <c:v>35.6</c:v>
                </c:pt>
                <c:pt idx="99">
                  <c:v>35.6</c:v>
                </c:pt>
                <c:pt idx="100">
                  <c:v>35.6</c:v>
                </c:pt>
                <c:pt idx="101">
                  <c:v>35.6</c:v>
                </c:pt>
                <c:pt idx="102">
                  <c:v>35.6</c:v>
                </c:pt>
                <c:pt idx="103">
                  <c:v>35.6</c:v>
                </c:pt>
                <c:pt idx="104">
                  <c:v>35.6</c:v>
                </c:pt>
                <c:pt idx="105">
                  <c:v>35.6</c:v>
                </c:pt>
                <c:pt idx="106">
                  <c:v>35.6</c:v>
                </c:pt>
                <c:pt idx="107">
                  <c:v>35.6</c:v>
                </c:pt>
                <c:pt idx="108">
                  <c:v>35.6</c:v>
                </c:pt>
                <c:pt idx="109">
                  <c:v>35.6</c:v>
                </c:pt>
                <c:pt idx="110">
                  <c:v>35.6</c:v>
                </c:pt>
                <c:pt idx="111">
                  <c:v>35.6</c:v>
                </c:pt>
                <c:pt idx="112">
                  <c:v>35.6</c:v>
                </c:pt>
                <c:pt idx="113">
                  <c:v>35.6</c:v>
                </c:pt>
                <c:pt idx="114">
                  <c:v>35.6</c:v>
                </c:pt>
                <c:pt idx="115">
                  <c:v>35.6</c:v>
                </c:pt>
                <c:pt idx="116">
                  <c:v>35.6</c:v>
                </c:pt>
                <c:pt idx="117">
                  <c:v>35.6</c:v>
                </c:pt>
                <c:pt idx="118">
                  <c:v>35.6</c:v>
                </c:pt>
                <c:pt idx="119">
                  <c:v>35.6</c:v>
                </c:pt>
                <c:pt idx="120">
                  <c:v>35.6</c:v>
                </c:pt>
                <c:pt idx="121">
                  <c:v>35.6</c:v>
                </c:pt>
                <c:pt idx="122">
                  <c:v>35.6</c:v>
                </c:pt>
                <c:pt idx="123">
                  <c:v>35.6</c:v>
                </c:pt>
                <c:pt idx="124">
                  <c:v>35.6</c:v>
                </c:pt>
                <c:pt idx="125">
                  <c:v>35.6</c:v>
                </c:pt>
                <c:pt idx="126">
                  <c:v>35.6</c:v>
                </c:pt>
                <c:pt idx="127">
                  <c:v>35.6</c:v>
                </c:pt>
                <c:pt idx="128">
                  <c:v>35.6</c:v>
                </c:pt>
                <c:pt idx="129">
                  <c:v>35.6</c:v>
                </c:pt>
                <c:pt idx="130">
                  <c:v>35.6</c:v>
                </c:pt>
                <c:pt idx="131">
                  <c:v>35.6</c:v>
                </c:pt>
                <c:pt idx="132">
                  <c:v>35.6</c:v>
                </c:pt>
                <c:pt idx="133">
                  <c:v>35.6</c:v>
                </c:pt>
                <c:pt idx="134">
                  <c:v>35.6</c:v>
                </c:pt>
                <c:pt idx="135">
                  <c:v>35.6</c:v>
                </c:pt>
                <c:pt idx="136">
                  <c:v>35.6</c:v>
                </c:pt>
                <c:pt idx="137">
                  <c:v>35.6</c:v>
                </c:pt>
                <c:pt idx="138">
                  <c:v>35.6</c:v>
                </c:pt>
                <c:pt idx="139">
                  <c:v>35.6</c:v>
                </c:pt>
                <c:pt idx="140">
                  <c:v>35.6</c:v>
                </c:pt>
                <c:pt idx="141">
                  <c:v>35.6</c:v>
                </c:pt>
                <c:pt idx="142">
                  <c:v>35.6</c:v>
                </c:pt>
                <c:pt idx="143">
                  <c:v>35.6</c:v>
                </c:pt>
                <c:pt idx="144">
                  <c:v>35.6</c:v>
                </c:pt>
                <c:pt idx="145">
                  <c:v>35.6</c:v>
                </c:pt>
                <c:pt idx="146">
                  <c:v>35.6</c:v>
                </c:pt>
                <c:pt idx="147">
                  <c:v>35.6</c:v>
                </c:pt>
                <c:pt idx="148">
                  <c:v>35.6</c:v>
                </c:pt>
                <c:pt idx="149">
                  <c:v>35.6</c:v>
                </c:pt>
                <c:pt idx="150">
                  <c:v>35.6</c:v>
                </c:pt>
                <c:pt idx="151">
                  <c:v>35.6</c:v>
                </c:pt>
                <c:pt idx="152">
                  <c:v>36.04</c:v>
                </c:pt>
                <c:pt idx="153">
                  <c:v>36.479999999999997</c:v>
                </c:pt>
                <c:pt idx="154">
                  <c:v>36.919999999999995</c:v>
                </c:pt>
                <c:pt idx="155">
                  <c:v>37.359999999999992</c:v>
                </c:pt>
                <c:pt idx="156">
                  <c:v>37.79999999999999</c:v>
                </c:pt>
                <c:pt idx="157">
                  <c:v>38.239999999999988</c:v>
                </c:pt>
                <c:pt idx="158">
                  <c:v>38.679999999999986</c:v>
                </c:pt>
                <c:pt idx="159">
                  <c:v>39.119999999999983</c:v>
                </c:pt>
                <c:pt idx="160">
                  <c:v>39.559999999999981</c:v>
                </c:pt>
                <c:pt idx="161">
                  <c:v>39.999999999999979</c:v>
                </c:pt>
                <c:pt idx="162">
                  <c:v>40.439999999999976</c:v>
                </c:pt>
                <c:pt idx="163">
                  <c:v>40.879999999999974</c:v>
                </c:pt>
                <c:pt idx="164">
                  <c:v>41.319999999999972</c:v>
                </c:pt>
                <c:pt idx="165">
                  <c:v>41.75999999999997</c:v>
                </c:pt>
                <c:pt idx="166">
                  <c:v>42.199999999999967</c:v>
                </c:pt>
                <c:pt idx="167">
                  <c:v>42.639999999999965</c:v>
                </c:pt>
                <c:pt idx="168">
                  <c:v>43.079999999999963</c:v>
                </c:pt>
                <c:pt idx="169">
                  <c:v>43.51999999999996</c:v>
                </c:pt>
                <c:pt idx="170">
                  <c:v>43.959999999999958</c:v>
                </c:pt>
                <c:pt idx="171">
                  <c:v>44.399999999999956</c:v>
                </c:pt>
                <c:pt idx="172">
                  <c:v>44.839999999999954</c:v>
                </c:pt>
                <c:pt idx="173">
                  <c:v>45.279999999999951</c:v>
                </c:pt>
                <c:pt idx="174">
                  <c:v>45.719999999999949</c:v>
                </c:pt>
                <c:pt idx="175">
                  <c:v>46.159999999999947</c:v>
                </c:pt>
                <c:pt idx="176">
                  <c:v>46.599999999999945</c:v>
                </c:pt>
                <c:pt idx="177">
                  <c:v>47.039999999999942</c:v>
                </c:pt>
                <c:pt idx="178">
                  <c:v>47.47999999999994</c:v>
                </c:pt>
                <c:pt idx="179">
                  <c:v>47.919999999999938</c:v>
                </c:pt>
                <c:pt idx="180">
                  <c:v>48.359999999999935</c:v>
                </c:pt>
                <c:pt idx="181">
                  <c:v>48.799999999999933</c:v>
                </c:pt>
                <c:pt idx="182">
                  <c:v>49.239999999999931</c:v>
                </c:pt>
                <c:pt idx="183">
                  <c:v>49.679999999999929</c:v>
                </c:pt>
                <c:pt idx="184">
                  <c:v>50.119999999999926</c:v>
                </c:pt>
                <c:pt idx="185">
                  <c:v>50.559999999999924</c:v>
                </c:pt>
                <c:pt idx="186">
                  <c:v>50.999999999999922</c:v>
                </c:pt>
                <c:pt idx="187">
                  <c:v>51.43999999999992</c:v>
                </c:pt>
                <c:pt idx="188">
                  <c:v>51.879999999999917</c:v>
                </c:pt>
                <c:pt idx="189">
                  <c:v>52.319999999999915</c:v>
                </c:pt>
                <c:pt idx="190">
                  <c:v>52.759999999999913</c:v>
                </c:pt>
                <c:pt idx="191">
                  <c:v>53.19999999999991</c:v>
                </c:pt>
                <c:pt idx="192">
                  <c:v>53.639999999999908</c:v>
                </c:pt>
                <c:pt idx="193">
                  <c:v>54.079999999999906</c:v>
                </c:pt>
                <c:pt idx="194">
                  <c:v>54.519999999999904</c:v>
                </c:pt>
                <c:pt idx="195">
                  <c:v>54.959999999999901</c:v>
                </c:pt>
                <c:pt idx="196">
                  <c:v>55.399999999999899</c:v>
                </c:pt>
                <c:pt idx="197">
                  <c:v>55.839999999999897</c:v>
                </c:pt>
                <c:pt idx="198">
                  <c:v>56.279999999999895</c:v>
                </c:pt>
                <c:pt idx="199">
                  <c:v>56.719999999999892</c:v>
                </c:pt>
                <c:pt idx="200">
                  <c:v>57.15999999999989</c:v>
                </c:pt>
                <c:pt idx="201">
                  <c:v>57.15999999999989</c:v>
                </c:pt>
                <c:pt idx="202">
                  <c:v>57.15999999999989</c:v>
                </c:pt>
                <c:pt idx="203">
                  <c:v>57.15999999999989</c:v>
                </c:pt>
                <c:pt idx="204">
                  <c:v>57.15999999999989</c:v>
                </c:pt>
                <c:pt idx="205">
                  <c:v>57.15999999999989</c:v>
                </c:pt>
                <c:pt idx="206">
                  <c:v>57.15999999999989</c:v>
                </c:pt>
                <c:pt idx="207">
                  <c:v>57.15999999999989</c:v>
                </c:pt>
                <c:pt idx="208">
                  <c:v>57.15999999999989</c:v>
                </c:pt>
                <c:pt idx="209">
                  <c:v>57.15999999999989</c:v>
                </c:pt>
                <c:pt idx="210">
                  <c:v>57.15999999999989</c:v>
                </c:pt>
                <c:pt idx="211">
                  <c:v>57.15999999999989</c:v>
                </c:pt>
                <c:pt idx="212">
                  <c:v>57.15999999999989</c:v>
                </c:pt>
                <c:pt idx="213">
                  <c:v>57.15999999999989</c:v>
                </c:pt>
                <c:pt idx="214">
                  <c:v>57.15999999999989</c:v>
                </c:pt>
                <c:pt idx="215">
                  <c:v>57.15999999999989</c:v>
                </c:pt>
                <c:pt idx="216">
                  <c:v>57.15999999999989</c:v>
                </c:pt>
                <c:pt idx="217">
                  <c:v>57.15999999999989</c:v>
                </c:pt>
                <c:pt idx="218">
                  <c:v>57.15999999999989</c:v>
                </c:pt>
                <c:pt idx="219">
                  <c:v>57.15999999999989</c:v>
                </c:pt>
                <c:pt idx="220">
                  <c:v>57.15999999999989</c:v>
                </c:pt>
                <c:pt idx="221">
                  <c:v>57.15999999999989</c:v>
                </c:pt>
                <c:pt idx="222">
                  <c:v>57.15999999999989</c:v>
                </c:pt>
                <c:pt idx="223">
                  <c:v>57.15999999999989</c:v>
                </c:pt>
                <c:pt idx="224">
                  <c:v>57.15999999999989</c:v>
                </c:pt>
                <c:pt idx="225">
                  <c:v>57.15999999999989</c:v>
                </c:pt>
                <c:pt idx="226">
                  <c:v>56.719999999999892</c:v>
                </c:pt>
                <c:pt idx="227">
                  <c:v>56.279999999999895</c:v>
                </c:pt>
                <c:pt idx="228">
                  <c:v>55.839999999999897</c:v>
                </c:pt>
                <c:pt idx="229">
                  <c:v>55.399999999999899</c:v>
                </c:pt>
                <c:pt idx="230">
                  <c:v>54.959999999999901</c:v>
                </c:pt>
                <c:pt idx="231">
                  <c:v>54.519999999999904</c:v>
                </c:pt>
                <c:pt idx="232">
                  <c:v>54.079999999999906</c:v>
                </c:pt>
                <c:pt idx="233">
                  <c:v>53.639999999999908</c:v>
                </c:pt>
                <c:pt idx="234">
                  <c:v>53.19999999999991</c:v>
                </c:pt>
                <c:pt idx="235">
                  <c:v>52.759999999999913</c:v>
                </c:pt>
                <c:pt idx="236">
                  <c:v>52.319999999999915</c:v>
                </c:pt>
                <c:pt idx="237">
                  <c:v>51.879999999999917</c:v>
                </c:pt>
                <c:pt idx="238">
                  <c:v>51.43999999999992</c:v>
                </c:pt>
                <c:pt idx="239">
                  <c:v>50.999999999999922</c:v>
                </c:pt>
                <c:pt idx="240">
                  <c:v>50.559999999999924</c:v>
                </c:pt>
                <c:pt idx="241">
                  <c:v>50.119999999999926</c:v>
                </c:pt>
                <c:pt idx="242">
                  <c:v>49.679999999999929</c:v>
                </c:pt>
                <c:pt idx="243">
                  <c:v>49.239999999999931</c:v>
                </c:pt>
                <c:pt idx="244">
                  <c:v>48.799999999999933</c:v>
                </c:pt>
                <c:pt idx="245">
                  <c:v>48.359999999999935</c:v>
                </c:pt>
                <c:pt idx="246">
                  <c:v>47.919999999999938</c:v>
                </c:pt>
                <c:pt idx="247">
                  <c:v>47.47999999999994</c:v>
                </c:pt>
                <c:pt idx="248">
                  <c:v>47.039999999999942</c:v>
                </c:pt>
                <c:pt idx="249">
                  <c:v>46.599999999999945</c:v>
                </c:pt>
                <c:pt idx="250">
                  <c:v>46.159999999999947</c:v>
                </c:pt>
                <c:pt idx="251">
                  <c:v>45.719999999999949</c:v>
                </c:pt>
                <c:pt idx="252">
                  <c:v>45.279999999999951</c:v>
                </c:pt>
                <c:pt idx="253">
                  <c:v>44.839999999999954</c:v>
                </c:pt>
                <c:pt idx="254">
                  <c:v>44.399999999999956</c:v>
                </c:pt>
                <c:pt idx="255">
                  <c:v>43.959999999999958</c:v>
                </c:pt>
                <c:pt idx="256">
                  <c:v>43.51999999999996</c:v>
                </c:pt>
                <c:pt idx="257">
                  <c:v>43.079999999999963</c:v>
                </c:pt>
                <c:pt idx="258">
                  <c:v>42.639999999999965</c:v>
                </c:pt>
                <c:pt idx="259">
                  <c:v>42.199999999999967</c:v>
                </c:pt>
                <c:pt idx="260">
                  <c:v>41.75999999999997</c:v>
                </c:pt>
                <c:pt idx="261">
                  <c:v>41.319999999999972</c:v>
                </c:pt>
                <c:pt idx="262">
                  <c:v>40.879999999999974</c:v>
                </c:pt>
                <c:pt idx="263">
                  <c:v>40.439999999999976</c:v>
                </c:pt>
                <c:pt idx="264">
                  <c:v>39.999999999999979</c:v>
                </c:pt>
                <c:pt idx="265">
                  <c:v>39.559999999999981</c:v>
                </c:pt>
                <c:pt idx="266">
                  <c:v>39.119999999999983</c:v>
                </c:pt>
                <c:pt idx="267">
                  <c:v>38.679999999999986</c:v>
                </c:pt>
                <c:pt idx="268">
                  <c:v>38.239999999999988</c:v>
                </c:pt>
                <c:pt idx="269">
                  <c:v>37.79999999999999</c:v>
                </c:pt>
                <c:pt idx="270">
                  <c:v>37.359999999999992</c:v>
                </c:pt>
                <c:pt idx="271">
                  <c:v>36.919999999999995</c:v>
                </c:pt>
                <c:pt idx="272">
                  <c:v>36.479999999999997</c:v>
                </c:pt>
                <c:pt idx="273">
                  <c:v>36.04</c:v>
                </c:pt>
                <c:pt idx="274">
                  <c:v>35.6</c:v>
                </c:pt>
                <c:pt idx="275">
                  <c:v>35.160000000000004</c:v>
                </c:pt>
                <c:pt idx="276">
                  <c:v>35.160000000000004</c:v>
                </c:pt>
                <c:pt idx="277">
                  <c:v>35.160000000000004</c:v>
                </c:pt>
                <c:pt idx="278">
                  <c:v>35.160000000000004</c:v>
                </c:pt>
                <c:pt idx="279">
                  <c:v>35.160000000000004</c:v>
                </c:pt>
                <c:pt idx="280">
                  <c:v>35.160000000000004</c:v>
                </c:pt>
                <c:pt idx="281">
                  <c:v>35.160000000000004</c:v>
                </c:pt>
                <c:pt idx="282">
                  <c:v>35.160000000000004</c:v>
                </c:pt>
                <c:pt idx="283">
                  <c:v>35.160000000000004</c:v>
                </c:pt>
                <c:pt idx="284">
                  <c:v>35.160000000000004</c:v>
                </c:pt>
                <c:pt idx="285">
                  <c:v>35.160000000000004</c:v>
                </c:pt>
                <c:pt idx="286">
                  <c:v>35.160000000000004</c:v>
                </c:pt>
                <c:pt idx="287">
                  <c:v>35.160000000000004</c:v>
                </c:pt>
                <c:pt idx="288">
                  <c:v>35.160000000000004</c:v>
                </c:pt>
                <c:pt idx="289">
                  <c:v>35.160000000000004</c:v>
                </c:pt>
                <c:pt idx="290">
                  <c:v>35.160000000000004</c:v>
                </c:pt>
                <c:pt idx="291">
                  <c:v>35.160000000000004</c:v>
                </c:pt>
                <c:pt idx="292">
                  <c:v>35.160000000000004</c:v>
                </c:pt>
                <c:pt idx="293">
                  <c:v>35.160000000000004</c:v>
                </c:pt>
                <c:pt idx="294">
                  <c:v>35.160000000000004</c:v>
                </c:pt>
                <c:pt idx="295">
                  <c:v>35.160000000000004</c:v>
                </c:pt>
                <c:pt idx="296">
                  <c:v>35.160000000000004</c:v>
                </c:pt>
                <c:pt idx="297">
                  <c:v>35.160000000000004</c:v>
                </c:pt>
                <c:pt idx="298">
                  <c:v>35.160000000000004</c:v>
                </c:pt>
                <c:pt idx="299">
                  <c:v>35.160000000000004</c:v>
                </c:pt>
                <c:pt idx="300">
                  <c:v>35.160000000000004</c:v>
                </c:pt>
                <c:pt idx="301">
                  <c:v>35.160000000000004</c:v>
                </c:pt>
                <c:pt idx="302">
                  <c:v>35.160000000000004</c:v>
                </c:pt>
                <c:pt idx="303">
                  <c:v>35.160000000000004</c:v>
                </c:pt>
                <c:pt idx="304">
                  <c:v>35.160000000000004</c:v>
                </c:pt>
                <c:pt idx="305">
                  <c:v>35.160000000000004</c:v>
                </c:pt>
                <c:pt idx="306">
                  <c:v>35.160000000000004</c:v>
                </c:pt>
                <c:pt idx="307">
                  <c:v>35.160000000000004</c:v>
                </c:pt>
                <c:pt idx="308">
                  <c:v>35.160000000000004</c:v>
                </c:pt>
                <c:pt idx="309">
                  <c:v>35.160000000000004</c:v>
                </c:pt>
                <c:pt idx="310">
                  <c:v>35.160000000000004</c:v>
                </c:pt>
                <c:pt idx="311">
                  <c:v>35.160000000000004</c:v>
                </c:pt>
                <c:pt idx="312">
                  <c:v>35.160000000000004</c:v>
                </c:pt>
                <c:pt idx="313">
                  <c:v>35.160000000000004</c:v>
                </c:pt>
                <c:pt idx="314">
                  <c:v>35.160000000000004</c:v>
                </c:pt>
                <c:pt idx="315">
                  <c:v>35.160000000000004</c:v>
                </c:pt>
                <c:pt idx="316">
                  <c:v>35.160000000000004</c:v>
                </c:pt>
                <c:pt idx="317">
                  <c:v>35.160000000000004</c:v>
                </c:pt>
                <c:pt idx="318">
                  <c:v>35.160000000000004</c:v>
                </c:pt>
                <c:pt idx="319">
                  <c:v>35.160000000000004</c:v>
                </c:pt>
                <c:pt idx="320">
                  <c:v>35.160000000000004</c:v>
                </c:pt>
                <c:pt idx="321">
                  <c:v>35.160000000000004</c:v>
                </c:pt>
                <c:pt idx="322">
                  <c:v>35.160000000000004</c:v>
                </c:pt>
                <c:pt idx="323">
                  <c:v>35.160000000000004</c:v>
                </c:pt>
                <c:pt idx="324">
                  <c:v>35.160000000000004</c:v>
                </c:pt>
                <c:pt idx="325">
                  <c:v>35.160000000000004</c:v>
                </c:pt>
                <c:pt idx="326">
                  <c:v>36.6</c:v>
                </c:pt>
                <c:pt idx="327">
                  <c:v>38.04</c:v>
                </c:pt>
                <c:pt idx="328">
                  <c:v>39.479999999999997</c:v>
                </c:pt>
                <c:pt idx="329">
                  <c:v>40.919999999999995</c:v>
                </c:pt>
                <c:pt idx="330">
                  <c:v>42.359999999999992</c:v>
                </c:pt>
                <c:pt idx="331">
                  <c:v>43.79999999999999</c:v>
                </c:pt>
                <c:pt idx="332">
                  <c:v>45.239999999999988</c:v>
                </c:pt>
                <c:pt idx="333">
                  <c:v>46.679999999999986</c:v>
                </c:pt>
                <c:pt idx="334">
                  <c:v>48.119999999999983</c:v>
                </c:pt>
                <c:pt idx="335">
                  <c:v>49.559999999999981</c:v>
                </c:pt>
                <c:pt idx="336">
                  <c:v>50.999999999999979</c:v>
                </c:pt>
                <c:pt idx="337">
                  <c:v>52.439999999999976</c:v>
                </c:pt>
                <c:pt idx="338">
                  <c:v>53.879999999999974</c:v>
                </c:pt>
                <c:pt idx="339">
                  <c:v>55.319999999999972</c:v>
                </c:pt>
                <c:pt idx="340">
                  <c:v>56.75999999999997</c:v>
                </c:pt>
                <c:pt idx="341">
                  <c:v>58.199999999999967</c:v>
                </c:pt>
                <c:pt idx="342">
                  <c:v>59.639999999999965</c:v>
                </c:pt>
                <c:pt idx="343">
                  <c:v>61.079999999999963</c:v>
                </c:pt>
                <c:pt idx="344">
                  <c:v>62.51999999999996</c:v>
                </c:pt>
                <c:pt idx="345">
                  <c:v>63.959999999999958</c:v>
                </c:pt>
                <c:pt idx="346">
                  <c:v>65.399999999999963</c:v>
                </c:pt>
                <c:pt idx="347">
                  <c:v>66.839999999999961</c:v>
                </c:pt>
                <c:pt idx="348">
                  <c:v>68.279999999999959</c:v>
                </c:pt>
                <c:pt idx="349">
                  <c:v>69.719999999999956</c:v>
                </c:pt>
                <c:pt idx="350">
                  <c:v>71.159999999999954</c:v>
                </c:pt>
                <c:pt idx="351">
                  <c:v>72.599999999999952</c:v>
                </c:pt>
                <c:pt idx="352">
                  <c:v>74.039999999999949</c:v>
                </c:pt>
                <c:pt idx="353">
                  <c:v>75.479999999999947</c:v>
                </c:pt>
                <c:pt idx="354">
                  <c:v>76.919999999999945</c:v>
                </c:pt>
                <c:pt idx="355">
                  <c:v>78.359999999999943</c:v>
                </c:pt>
                <c:pt idx="356">
                  <c:v>79.79999999999994</c:v>
                </c:pt>
                <c:pt idx="357">
                  <c:v>81.239999999999938</c:v>
                </c:pt>
                <c:pt idx="358">
                  <c:v>82.679999999999936</c:v>
                </c:pt>
                <c:pt idx="359">
                  <c:v>84.119999999999933</c:v>
                </c:pt>
                <c:pt idx="360">
                  <c:v>85.559999999999931</c:v>
                </c:pt>
                <c:pt idx="361">
                  <c:v>86.999999999999929</c:v>
                </c:pt>
                <c:pt idx="362">
                  <c:v>88.439999999999927</c:v>
                </c:pt>
                <c:pt idx="363">
                  <c:v>89.879999999999924</c:v>
                </c:pt>
                <c:pt idx="364">
                  <c:v>91.319999999999922</c:v>
                </c:pt>
                <c:pt idx="365">
                  <c:v>92.75999999999992</c:v>
                </c:pt>
                <c:pt idx="366">
                  <c:v>94.199999999999918</c:v>
                </c:pt>
                <c:pt idx="367">
                  <c:v>95.639999999999915</c:v>
                </c:pt>
                <c:pt idx="368">
                  <c:v>97.079999999999913</c:v>
                </c:pt>
                <c:pt idx="369">
                  <c:v>98.519999999999911</c:v>
                </c:pt>
                <c:pt idx="370">
                  <c:v>99.959999999999908</c:v>
                </c:pt>
                <c:pt idx="371">
                  <c:v>101.39999999999991</c:v>
                </c:pt>
                <c:pt idx="372">
                  <c:v>102.8399999999999</c:v>
                </c:pt>
                <c:pt idx="373">
                  <c:v>104.2799999999999</c:v>
                </c:pt>
                <c:pt idx="374">
                  <c:v>105.7199999999999</c:v>
                </c:pt>
                <c:pt idx="375">
                  <c:v>107.1599999999999</c:v>
                </c:pt>
                <c:pt idx="376">
                  <c:v>107.1599999999999</c:v>
                </c:pt>
                <c:pt idx="377">
                  <c:v>107.1599999999999</c:v>
                </c:pt>
                <c:pt idx="378">
                  <c:v>107.1599999999999</c:v>
                </c:pt>
                <c:pt idx="379">
                  <c:v>107.1599999999999</c:v>
                </c:pt>
                <c:pt idx="380">
                  <c:v>107.1599999999999</c:v>
                </c:pt>
                <c:pt idx="381">
                  <c:v>107.1599999999999</c:v>
                </c:pt>
                <c:pt idx="382">
                  <c:v>107.1599999999999</c:v>
                </c:pt>
                <c:pt idx="383">
                  <c:v>107.1599999999999</c:v>
                </c:pt>
                <c:pt idx="384">
                  <c:v>107.1599999999999</c:v>
                </c:pt>
                <c:pt idx="385">
                  <c:v>107.1599999999999</c:v>
                </c:pt>
                <c:pt idx="386">
                  <c:v>107.1599999999999</c:v>
                </c:pt>
                <c:pt idx="387">
                  <c:v>107.1599999999999</c:v>
                </c:pt>
                <c:pt idx="388">
                  <c:v>107.1599999999999</c:v>
                </c:pt>
                <c:pt idx="389">
                  <c:v>107.1599999999999</c:v>
                </c:pt>
                <c:pt idx="390">
                  <c:v>107.1599999999999</c:v>
                </c:pt>
                <c:pt idx="391">
                  <c:v>107.1599999999999</c:v>
                </c:pt>
                <c:pt idx="392">
                  <c:v>107.1599999999999</c:v>
                </c:pt>
                <c:pt idx="393">
                  <c:v>107.1599999999999</c:v>
                </c:pt>
                <c:pt idx="394">
                  <c:v>107.1599999999999</c:v>
                </c:pt>
                <c:pt idx="395">
                  <c:v>107.1599999999999</c:v>
                </c:pt>
                <c:pt idx="396">
                  <c:v>107.1599999999999</c:v>
                </c:pt>
                <c:pt idx="397">
                  <c:v>107.1599999999999</c:v>
                </c:pt>
                <c:pt idx="398">
                  <c:v>107.1599999999999</c:v>
                </c:pt>
                <c:pt idx="399">
                  <c:v>107.1599999999999</c:v>
                </c:pt>
                <c:pt idx="400">
                  <c:v>107.1599999999999</c:v>
                </c:pt>
                <c:pt idx="401">
                  <c:v>105.7199999999999</c:v>
                </c:pt>
                <c:pt idx="402">
                  <c:v>104.2799999999999</c:v>
                </c:pt>
                <c:pt idx="403">
                  <c:v>102.8399999999999</c:v>
                </c:pt>
                <c:pt idx="404">
                  <c:v>101.39999999999991</c:v>
                </c:pt>
                <c:pt idx="405">
                  <c:v>99.959999999999908</c:v>
                </c:pt>
                <c:pt idx="406">
                  <c:v>98.519999999999911</c:v>
                </c:pt>
                <c:pt idx="407">
                  <c:v>97.079999999999913</c:v>
                </c:pt>
                <c:pt idx="408">
                  <c:v>95.639999999999915</c:v>
                </c:pt>
                <c:pt idx="409">
                  <c:v>94.199999999999918</c:v>
                </c:pt>
                <c:pt idx="410">
                  <c:v>92.75999999999992</c:v>
                </c:pt>
                <c:pt idx="411">
                  <c:v>91.319999999999922</c:v>
                </c:pt>
                <c:pt idx="412">
                  <c:v>89.879999999999924</c:v>
                </c:pt>
                <c:pt idx="413">
                  <c:v>88.439999999999927</c:v>
                </c:pt>
                <c:pt idx="414">
                  <c:v>86.999999999999929</c:v>
                </c:pt>
                <c:pt idx="415">
                  <c:v>85.559999999999931</c:v>
                </c:pt>
                <c:pt idx="416">
                  <c:v>84.119999999999933</c:v>
                </c:pt>
                <c:pt idx="417">
                  <c:v>82.679999999999936</c:v>
                </c:pt>
                <c:pt idx="418">
                  <c:v>81.239999999999938</c:v>
                </c:pt>
                <c:pt idx="419">
                  <c:v>79.79999999999994</c:v>
                </c:pt>
                <c:pt idx="420">
                  <c:v>78.359999999999943</c:v>
                </c:pt>
                <c:pt idx="421">
                  <c:v>76.919999999999945</c:v>
                </c:pt>
                <c:pt idx="422">
                  <c:v>75.479999999999947</c:v>
                </c:pt>
                <c:pt idx="423">
                  <c:v>74.039999999999949</c:v>
                </c:pt>
                <c:pt idx="424">
                  <c:v>72.599999999999952</c:v>
                </c:pt>
                <c:pt idx="425">
                  <c:v>71.159999999999954</c:v>
                </c:pt>
                <c:pt idx="426">
                  <c:v>69.719999999999956</c:v>
                </c:pt>
                <c:pt idx="427">
                  <c:v>68.279999999999959</c:v>
                </c:pt>
                <c:pt idx="428">
                  <c:v>66.839999999999961</c:v>
                </c:pt>
                <c:pt idx="429">
                  <c:v>65.399999999999963</c:v>
                </c:pt>
                <c:pt idx="430">
                  <c:v>63.959999999999965</c:v>
                </c:pt>
                <c:pt idx="431">
                  <c:v>62.519999999999968</c:v>
                </c:pt>
                <c:pt idx="432">
                  <c:v>61.07999999999997</c:v>
                </c:pt>
                <c:pt idx="433">
                  <c:v>59.639999999999972</c:v>
                </c:pt>
                <c:pt idx="434">
                  <c:v>58.199999999999974</c:v>
                </c:pt>
                <c:pt idx="435">
                  <c:v>56.759999999999977</c:v>
                </c:pt>
                <c:pt idx="436">
                  <c:v>55.319999999999979</c:v>
                </c:pt>
                <c:pt idx="437">
                  <c:v>53.879999999999981</c:v>
                </c:pt>
                <c:pt idx="438">
                  <c:v>52.439999999999984</c:v>
                </c:pt>
                <c:pt idx="439">
                  <c:v>50.999999999999986</c:v>
                </c:pt>
                <c:pt idx="440">
                  <c:v>49.559999999999988</c:v>
                </c:pt>
                <c:pt idx="441">
                  <c:v>48.11999999999999</c:v>
                </c:pt>
                <c:pt idx="442">
                  <c:v>46.679999999999993</c:v>
                </c:pt>
                <c:pt idx="443">
                  <c:v>45.239999999999995</c:v>
                </c:pt>
                <c:pt idx="444">
                  <c:v>43.8</c:v>
                </c:pt>
                <c:pt idx="445">
                  <c:v>42.36</c:v>
                </c:pt>
                <c:pt idx="446">
                  <c:v>40.92</c:v>
                </c:pt>
                <c:pt idx="447">
                  <c:v>39.480000000000004</c:v>
                </c:pt>
                <c:pt idx="448">
                  <c:v>38.040000000000006</c:v>
                </c:pt>
                <c:pt idx="449">
                  <c:v>36.600000000000009</c:v>
                </c:pt>
                <c:pt idx="450">
                  <c:v>35.160000000000011</c:v>
                </c:pt>
                <c:pt idx="451">
                  <c:v>35.160000000000011</c:v>
                </c:pt>
                <c:pt idx="452">
                  <c:v>35.160000000000011</c:v>
                </c:pt>
                <c:pt idx="453">
                  <c:v>35.160000000000011</c:v>
                </c:pt>
                <c:pt idx="454">
                  <c:v>35.160000000000011</c:v>
                </c:pt>
                <c:pt idx="455">
                  <c:v>35.160000000000011</c:v>
                </c:pt>
                <c:pt idx="456">
                  <c:v>35.160000000000011</c:v>
                </c:pt>
                <c:pt idx="457">
                  <c:v>35.160000000000011</c:v>
                </c:pt>
                <c:pt idx="458">
                  <c:v>35.160000000000011</c:v>
                </c:pt>
                <c:pt idx="459">
                  <c:v>35.160000000000011</c:v>
                </c:pt>
                <c:pt idx="460">
                  <c:v>35.160000000000011</c:v>
                </c:pt>
                <c:pt idx="461">
                  <c:v>35.160000000000011</c:v>
                </c:pt>
                <c:pt idx="462">
                  <c:v>35.160000000000011</c:v>
                </c:pt>
                <c:pt idx="463">
                  <c:v>35.160000000000011</c:v>
                </c:pt>
                <c:pt idx="464">
                  <c:v>35.160000000000011</c:v>
                </c:pt>
                <c:pt idx="465">
                  <c:v>35.160000000000011</c:v>
                </c:pt>
                <c:pt idx="466">
                  <c:v>35.160000000000011</c:v>
                </c:pt>
                <c:pt idx="467">
                  <c:v>35.160000000000011</c:v>
                </c:pt>
                <c:pt idx="468">
                  <c:v>35.160000000000011</c:v>
                </c:pt>
                <c:pt idx="469">
                  <c:v>35.160000000000011</c:v>
                </c:pt>
                <c:pt idx="470">
                  <c:v>35.160000000000011</c:v>
                </c:pt>
                <c:pt idx="471">
                  <c:v>35.160000000000011</c:v>
                </c:pt>
                <c:pt idx="472">
                  <c:v>35.160000000000011</c:v>
                </c:pt>
                <c:pt idx="473">
                  <c:v>35.160000000000011</c:v>
                </c:pt>
                <c:pt idx="474">
                  <c:v>35.160000000000011</c:v>
                </c:pt>
                <c:pt idx="475">
                  <c:v>35.160000000000011</c:v>
                </c:pt>
                <c:pt idx="476">
                  <c:v>35.160000000000011</c:v>
                </c:pt>
                <c:pt idx="477">
                  <c:v>35.160000000000011</c:v>
                </c:pt>
                <c:pt idx="478">
                  <c:v>35.160000000000011</c:v>
                </c:pt>
                <c:pt idx="479">
                  <c:v>35.160000000000011</c:v>
                </c:pt>
                <c:pt idx="480">
                  <c:v>35.160000000000011</c:v>
                </c:pt>
                <c:pt idx="481">
                  <c:v>35.160000000000011</c:v>
                </c:pt>
                <c:pt idx="482">
                  <c:v>35.160000000000011</c:v>
                </c:pt>
                <c:pt idx="483">
                  <c:v>35.160000000000011</c:v>
                </c:pt>
                <c:pt idx="484">
                  <c:v>35.160000000000011</c:v>
                </c:pt>
                <c:pt idx="485">
                  <c:v>35.160000000000011</c:v>
                </c:pt>
                <c:pt idx="486">
                  <c:v>35.160000000000011</c:v>
                </c:pt>
                <c:pt idx="487">
                  <c:v>35.160000000000011</c:v>
                </c:pt>
                <c:pt idx="488">
                  <c:v>35.160000000000011</c:v>
                </c:pt>
                <c:pt idx="489">
                  <c:v>35.160000000000011</c:v>
                </c:pt>
                <c:pt idx="490">
                  <c:v>35.160000000000011</c:v>
                </c:pt>
                <c:pt idx="491">
                  <c:v>35.160000000000011</c:v>
                </c:pt>
                <c:pt idx="492">
                  <c:v>35.160000000000011</c:v>
                </c:pt>
                <c:pt idx="493">
                  <c:v>35.160000000000011</c:v>
                </c:pt>
                <c:pt idx="494">
                  <c:v>35.160000000000011</c:v>
                </c:pt>
                <c:pt idx="495">
                  <c:v>35.160000000000011</c:v>
                </c:pt>
                <c:pt idx="496">
                  <c:v>35.160000000000011</c:v>
                </c:pt>
                <c:pt idx="497">
                  <c:v>35.160000000000011</c:v>
                </c:pt>
                <c:pt idx="498">
                  <c:v>35.160000000000011</c:v>
                </c:pt>
                <c:pt idx="499">
                  <c:v>35.160000000000011</c:v>
                </c:pt>
                <c:pt idx="500">
                  <c:v>35.160000000000011</c:v>
                </c:pt>
                <c:pt idx="501">
                  <c:v>37.600000000000009</c:v>
                </c:pt>
                <c:pt idx="502">
                  <c:v>40.040000000000006</c:v>
                </c:pt>
                <c:pt idx="503">
                  <c:v>42.480000000000004</c:v>
                </c:pt>
                <c:pt idx="504">
                  <c:v>44.92</c:v>
                </c:pt>
                <c:pt idx="505">
                  <c:v>47.36</c:v>
                </c:pt>
                <c:pt idx="506">
                  <c:v>49.8</c:v>
                </c:pt>
                <c:pt idx="507">
                  <c:v>52.239999999999995</c:v>
                </c:pt>
                <c:pt idx="508">
                  <c:v>54.679999999999993</c:v>
                </c:pt>
                <c:pt idx="509">
                  <c:v>57.11999999999999</c:v>
                </c:pt>
                <c:pt idx="510">
                  <c:v>59.559999999999988</c:v>
                </c:pt>
                <c:pt idx="511">
                  <c:v>61.999999999999986</c:v>
                </c:pt>
                <c:pt idx="512">
                  <c:v>64.439999999999984</c:v>
                </c:pt>
                <c:pt idx="513">
                  <c:v>66.879999999999981</c:v>
                </c:pt>
                <c:pt idx="514">
                  <c:v>69.319999999999979</c:v>
                </c:pt>
                <c:pt idx="515">
                  <c:v>71.759999999999977</c:v>
                </c:pt>
                <c:pt idx="516">
                  <c:v>74.199999999999974</c:v>
                </c:pt>
                <c:pt idx="517">
                  <c:v>76.639999999999972</c:v>
                </c:pt>
                <c:pt idx="518">
                  <c:v>79.07999999999997</c:v>
                </c:pt>
                <c:pt idx="519">
                  <c:v>81.519999999999968</c:v>
                </c:pt>
                <c:pt idx="520">
                  <c:v>83.959999999999965</c:v>
                </c:pt>
                <c:pt idx="521">
                  <c:v>86.399999999999963</c:v>
                </c:pt>
                <c:pt idx="522">
                  <c:v>88.839999999999961</c:v>
                </c:pt>
                <c:pt idx="523">
                  <c:v>91.279999999999959</c:v>
                </c:pt>
                <c:pt idx="524">
                  <c:v>93.719999999999956</c:v>
                </c:pt>
                <c:pt idx="525">
                  <c:v>96.159999999999954</c:v>
                </c:pt>
                <c:pt idx="526">
                  <c:v>98.599999999999952</c:v>
                </c:pt>
                <c:pt idx="527">
                  <c:v>101.03999999999995</c:v>
                </c:pt>
                <c:pt idx="528">
                  <c:v>103.47999999999995</c:v>
                </c:pt>
                <c:pt idx="529">
                  <c:v>105.91999999999994</c:v>
                </c:pt>
                <c:pt idx="530">
                  <c:v>108.35999999999994</c:v>
                </c:pt>
                <c:pt idx="531">
                  <c:v>110.79999999999994</c:v>
                </c:pt>
                <c:pt idx="532">
                  <c:v>113.23999999999994</c:v>
                </c:pt>
                <c:pt idx="533">
                  <c:v>115.67999999999994</c:v>
                </c:pt>
                <c:pt idx="534">
                  <c:v>118.11999999999993</c:v>
                </c:pt>
                <c:pt idx="535">
                  <c:v>120.55999999999993</c:v>
                </c:pt>
                <c:pt idx="536">
                  <c:v>122.99999999999993</c:v>
                </c:pt>
                <c:pt idx="537">
                  <c:v>125.43999999999993</c:v>
                </c:pt>
                <c:pt idx="538">
                  <c:v>127.87999999999992</c:v>
                </c:pt>
                <c:pt idx="539">
                  <c:v>130.31999999999994</c:v>
                </c:pt>
                <c:pt idx="540">
                  <c:v>132.75999999999993</c:v>
                </c:pt>
                <c:pt idx="541">
                  <c:v>135.19999999999993</c:v>
                </c:pt>
                <c:pt idx="542">
                  <c:v>137.63999999999993</c:v>
                </c:pt>
                <c:pt idx="543">
                  <c:v>140.07999999999993</c:v>
                </c:pt>
                <c:pt idx="544">
                  <c:v>142.51999999999992</c:v>
                </c:pt>
                <c:pt idx="545">
                  <c:v>144.95999999999992</c:v>
                </c:pt>
                <c:pt idx="546">
                  <c:v>147.39999999999992</c:v>
                </c:pt>
                <c:pt idx="547">
                  <c:v>149.83999999999992</c:v>
                </c:pt>
                <c:pt idx="548">
                  <c:v>152.27999999999992</c:v>
                </c:pt>
                <c:pt idx="549">
                  <c:v>154.71999999999991</c:v>
                </c:pt>
                <c:pt idx="550">
                  <c:v>157.15999999999991</c:v>
                </c:pt>
                <c:pt idx="551">
                  <c:v>157.15999999999991</c:v>
                </c:pt>
                <c:pt idx="552">
                  <c:v>157.15999999999991</c:v>
                </c:pt>
                <c:pt idx="553">
                  <c:v>157.15999999999991</c:v>
                </c:pt>
                <c:pt idx="554">
                  <c:v>157.15999999999991</c:v>
                </c:pt>
                <c:pt idx="555">
                  <c:v>157.15999999999991</c:v>
                </c:pt>
                <c:pt idx="556">
                  <c:v>157.15999999999991</c:v>
                </c:pt>
                <c:pt idx="557">
                  <c:v>157.15999999999991</c:v>
                </c:pt>
                <c:pt idx="558">
                  <c:v>157.15999999999991</c:v>
                </c:pt>
                <c:pt idx="559">
                  <c:v>157.15999999999991</c:v>
                </c:pt>
                <c:pt idx="560">
                  <c:v>157.15999999999991</c:v>
                </c:pt>
                <c:pt idx="561">
                  <c:v>157.15999999999991</c:v>
                </c:pt>
                <c:pt idx="562">
                  <c:v>157.15999999999991</c:v>
                </c:pt>
                <c:pt idx="563">
                  <c:v>157.15999999999991</c:v>
                </c:pt>
                <c:pt idx="564">
                  <c:v>157.15999999999991</c:v>
                </c:pt>
                <c:pt idx="565">
                  <c:v>157.15999999999991</c:v>
                </c:pt>
                <c:pt idx="566">
                  <c:v>157.15999999999991</c:v>
                </c:pt>
                <c:pt idx="567">
                  <c:v>157.15999999999991</c:v>
                </c:pt>
                <c:pt idx="568">
                  <c:v>157.15999999999991</c:v>
                </c:pt>
                <c:pt idx="569">
                  <c:v>157.15999999999991</c:v>
                </c:pt>
                <c:pt idx="570">
                  <c:v>157.15999999999991</c:v>
                </c:pt>
                <c:pt idx="571">
                  <c:v>157.15999999999991</c:v>
                </c:pt>
                <c:pt idx="572">
                  <c:v>157.15999999999991</c:v>
                </c:pt>
                <c:pt idx="573">
                  <c:v>157.15999999999991</c:v>
                </c:pt>
                <c:pt idx="574">
                  <c:v>157.15999999999991</c:v>
                </c:pt>
                <c:pt idx="575">
                  <c:v>157.15999999999991</c:v>
                </c:pt>
                <c:pt idx="576">
                  <c:v>154.71999999999991</c:v>
                </c:pt>
                <c:pt idx="577">
                  <c:v>152.27999999999992</c:v>
                </c:pt>
                <c:pt idx="578">
                  <c:v>149.83999999999992</c:v>
                </c:pt>
                <c:pt idx="579">
                  <c:v>147.39999999999992</c:v>
                </c:pt>
                <c:pt idx="580">
                  <c:v>144.95999999999992</c:v>
                </c:pt>
                <c:pt idx="581">
                  <c:v>142.51999999999992</c:v>
                </c:pt>
                <c:pt idx="582">
                  <c:v>140.07999999999993</c:v>
                </c:pt>
                <c:pt idx="583">
                  <c:v>137.63999999999993</c:v>
                </c:pt>
                <c:pt idx="584">
                  <c:v>135.19999999999993</c:v>
                </c:pt>
                <c:pt idx="585">
                  <c:v>132.75999999999993</c:v>
                </c:pt>
                <c:pt idx="586">
                  <c:v>130.31999999999994</c:v>
                </c:pt>
                <c:pt idx="587">
                  <c:v>127.87999999999994</c:v>
                </c:pt>
                <c:pt idx="588">
                  <c:v>125.43999999999994</c:v>
                </c:pt>
                <c:pt idx="589">
                  <c:v>122.99999999999994</c:v>
                </c:pt>
                <c:pt idx="590">
                  <c:v>120.55999999999995</c:v>
                </c:pt>
                <c:pt idx="591">
                  <c:v>118.11999999999995</c:v>
                </c:pt>
                <c:pt idx="592">
                  <c:v>115.67999999999995</c:v>
                </c:pt>
                <c:pt idx="593">
                  <c:v>113.23999999999995</c:v>
                </c:pt>
                <c:pt idx="594">
                  <c:v>110.79999999999995</c:v>
                </c:pt>
                <c:pt idx="595">
                  <c:v>108.35999999999996</c:v>
                </c:pt>
                <c:pt idx="596">
                  <c:v>105.91999999999996</c:v>
                </c:pt>
                <c:pt idx="597">
                  <c:v>103.47999999999996</c:v>
                </c:pt>
                <c:pt idx="598">
                  <c:v>101.03999999999996</c:v>
                </c:pt>
                <c:pt idx="599">
                  <c:v>98.599999999999966</c:v>
                </c:pt>
                <c:pt idx="600">
                  <c:v>96.159999999999968</c:v>
                </c:pt>
                <c:pt idx="601">
                  <c:v>93.71999999999997</c:v>
                </c:pt>
                <c:pt idx="602">
                  <c:v>91.279999999999973</c:v>
                </c:pt>
                <c:pt idx="603">
                  <c:v>88.839999999999975</c:v>
                </c:pt>
                <c:pt idx="604">
                  <c:v>86.399999999999977</c:v>
                </c:pt>
                <c:pt idx="605">
                  <c:v>83.95999999999998</c:v>
                </c:pt>
                <c:pt idx="606">
                  <c:v>81.519999999999982</c:v>
                </c:pt>
                <c:pt idx="607">
                  <c:v>79.079999999999984</c:v>
                </c:pt>
                <c:pt idx="608">
                  <c:v>76.639999999999986</c:v>
                </c:pt>
                <c:pt idx="609">
                  <c:v>74.199999999999989</c:v>
                </c:pt>
                <c:pt idx="610">
                  <c:v>71.759999999999991</c:v>
                </c:pt>
                <c:pt idx="611">
                  <c:v>69.319999999999993</c:v>
                </c:pt>
                <c:pt idx="612">
                  <c:v>66.88</c:v>
                </c:pt>
                <c:pt idx="613">
                  <c:v>64.44</c:v>
                </c:pt>
                <c:pt idx="614">
                  <c:v>62</c:v>
                </c:pt>
                <c:pt idx="615">
                  <c:v>59.56</c:v>
                </c:pt>
                <c:pt idx="616">
                  <c:v>57.120000000000005</c:v>
                </c:pt>
                <c:pt idx="617">
                  <c:v>54.680000000000007</c:v>
                </c:pt>
                <c:pt idx="618">
                  <c:v>52.240000000000009</c:v>
                </c:pt>
                <c:pt idx="619">
                  <c:v>49.800000000000011</c:v>
                </c:pt>
                <c:pt idx="620">
                  <c:v>47.360000000000014</c:v>
                </c:pt>
                <c:pt idx="621">
                  <c:v>44.920000000000016</c:v>
                </c:pt>
                <c:pt idx="622">
                  <c:v>42.480000000000018</c:v>
                </c:pt>
                <c:pt idx="623">
                  <c:v>40.04000000000002</c:v>
                </c:pt>
                <c:pt idx="624">
                  <c:v>37.600000000000023</c:v>
                </c:pt>
                <c:pt idx="625">
                  <c:v>35.160000000000025</c:v>
                </c:pt>
                <c:pt idx="626">
                  <c:v>35.160000000000025</c:v>
                </c:pt>
                <c:pt idx="627">
                  <c:v>35.160000000000025</c:v>
                </c:pt>
                <c:pt idx="628">
                  <c:v>35.160000000000025</c:v>
                </c:pt>
                <c:pt idx="629">
                  <c:v>35.160000000000025</c:v>
                </c:pt>
                <c:pt idx="630">
                  <c:v>35.160000000000025</c:v>
                </c:pt>
                <c:pt idx="631">
                  <c:v>35.160000000000025</c:v>
                </c:pt>
                <c:pt idx="632">
                  <c:v>35.160000000000025</c:v>
                </c:pt>
                <c:pt idx="633">
                  <c:v>35.160000000000025</c:v>
                </c:pt>
                <c:pt idx="634">
                  <c:v>35.160000000000025</c:v>
                </c:pt>
                <c:pt idx="635">
                  <c:v>35.160000000000025</c:v>
                </c:pt>
                <c:pt idx="636">
                  <c:v>35.160000000000025</c:v>
                </c:pt>
                <c:pt idx="637">
                  <c:v>35.160000000000025</c:v>
                </c:pt>
                <c:pt idx="638">
                  <c:v>35.160000000000025</c:v>
                </c:pt>
                <c:pt idx="639">
                  <c:v>35.160000000000025</c:v>
                </c:pt>
                <c:pt idx="640">
                  <c:v>35.160000000000025</c:v>
                </c:pt>
                <c:pt idx="641">
                  <c:v>35.160000000000025</c:v>
                </c:pt>
                <c:pt idx="642">
                  <c:v>35.160000000000025</c:v>
                </c:pt>
                <c:pt idx="643">
                  <c:v>35.160000000000025</c:v>
                </c:pt>
                <c:pt idx="644">
                  <c:v>35.160000000000025</c:v>
                </c:pt>
                <c:pt idx="645">
                  <c:v>35.160000000000025</c:v>
                </c:pt>
                <c:pt idx="646">
                  <c:v>35.160000000000025</c:v>
                </c:pt>
                <c:pt idx="647">
                  <c:v>35.160000000000025</c:v>
                </c:pt>
                <c:pt idx="648">
                  <c:v>35.160000000000025</c:v>
                </c:pt>
                <c:pt idx="649">
                  <c:v>35.160000000000025</c:v>
                </c:pt>
                <c:pt idx="650">
                  <c:v>35.160000000000025</c:v>
                </c:pt>
                <c:pt idx="651">
                  <c:v>35.160000000000025</c:v>
                </c:pt>
                <c:pt idx="652">
                  <c:v>35.160000000000025</c:v>
                </c:pt>
                <c:pt idx="653">
                  <c:v>35.160000000000025</c:v>
                </c:pt>
                <c:pt idx="654">
                  <c:v>35.160000000000025</c:v>
                </c:pt>
                <c:pt idx="655">
                  <c:v>35.160000000000025</c:v>
                </c:pt>
                <c:pt idx="656">
                  <c:v>35.160000000000025</c:v>
                </c:pt>
                <c:pt idx="657">
                  <c:v>35.160000000000025</c:v>
                </c:pt>
                <c:pt idx="658">
                  <c:v>35.160000000000025</c:v>
                </c:pt>
                <c:pt idx="659">
                  <c:v>35.160000000000025</c:v>
                </c:pt>
                <c:pt idx="660">
                  <c:v>35.160000000000025</c:v>
                </c:pt>
                <c:pt idx="661">
                  <c:v>35.160000000000025</c:v>
                </c:pt>
                <c:pt idx="662">
                  <c:v>35.160000000000025</c:v>
                </c:pt>
                <c:pt idx="663">
                  <c:v>35.160000000000025</c:v>
                </c:pt>
                <c:pt idx="664">
                  <c:v>35.160000000000025</c:v>
                </c:pt>
                <c:pt idx="665">
                  <c:v>35.160000000000025</c:v>
                </c:pt>
                <c:pt idx="666">
                  <c:v>35.160000000000025</c:v>
                </c:pt>
                <c:pt idx="667">
                  <c:v>35.160000000000025</c:v>
                </c:pt>
                <c:pt idx="668">
                  <c:v>35.160000000000025</c:v>
                </c:pt>
                <c:pt idx="669">
                  <c:v>35.160000000000025</c:v>
                </c:pt>
                <c:pt idx="670">
                  <c:v>35.160000000000025</c:v>
                </c:pt>
                <c:pt idx="671">
                  <c:v>35.160000000000025</c:v>
                </c:pt>
                <c:pt idx="672">
                  <c:v>35.160000000000025</c:v>
                </c:pt>
                <c:pt idx="673">
                  <c:v>35.160000000000025</c:v>
                </c:pt>
                <c:pt idx="674">
                  <c:v>35.160000000000025</c:v>
                </c:pt>
                <c:pt idx="675">
                  <c:v>35.160000000000025</c:v>
                </c:pt>
                <c:pt idx="676">
                  <c:v>36.040000000000028</c:v>
                </c:pt>
                <c:pt idx="677">
                  <c:v>36.92000000000003</c:v>
                </c:pt>
                <c:pt idx="678">
                  <c:v>37.800000000000033</c:v>
                </c:pt>
                <c:pt idx="679">
                  <c:v>38.680000000000035</c:v>
                </c:pt>
                <c:pt idx="680">
                  <c:v>39.560000000000038</c:v>
                </c:pt>
                <c:pt idx="681">
                  <c:v>40.44000000000004</c:v>
                </c:pt>
                <c:pt idx="682">
                  <c:v>41.320000000000043</c:v>
                </c:pt>
                <c:pt idx="683">
                  <c:v>42.200000000000045</c:v>
                </c:pt>
                <c:pt idx="684">
                  <c:v>43.080000000000048</c:v>
                </c:pt>
                <c:pt idx="685">
                  <c:v>43.960000000000051</c:v>
                </c:pt>
                <c:pt idx="686">
                  <c:v>44.840000000000053</c:v>
                </c:pt>
                <c:pt idx="687">
                  <c:v>45.720000000000056</c:v>
                </c:pt>
                <c:pt idx="688">
                  <c:v>46.600000000000058</c:v>
                </c:pt>
                <c:pt idx="689">
                  <c:v>47.480000000000061</c:v>
                </c:pt>
                <c:pt idx="690">
                  <c:v>48.360000000000063</c:v>
                </c:pt>
                <c:pt idx="691">
                  <c:v>49.240000000000066</c:v>
                </c:pt>
                <c:pt idx="692">
                  <c:v>50.120000000000068</c:v>
                </c:pt>
                <c:pt idx="693">
                  <c:v>51.000000000000071</c:v>
                </c:pt>
                <c:pt idx="694">
                  <c:v>51.880000000000074</c:v>
                </c:pt>
                <c:pt idx="695">
                  <c:v>52.760000000000076</c:v>
                </c:pt>
                <c:pt idx="696">
                  <c:v>53.640000000000079</c:v>
                </c:pt>
                <c:pt idx="697">
                  <c:v>54.520000000000081</c:v>
                </c:pt>
                <c:pt idx="698">
                  <c:v>55.400000000000084</c:v>
                </c:pt>
                <c:pt idx="699">
                  <c:v>56.280000000000086</c:v>
                </c:pt>
                <c:pt idx="700">
                  <c:v>57.160000000000089</c:v>
                </c:pt>
                <c:pt idx="701">
                  <c:v>57.160000000000089</c:v>
                </c:pt>
                <c:pt idx="702">
                  <c:v>57.160000000000089</c:v>
                </c:pt>
                <c:pt idx="703">
                  <c:v>57.160000000000089</c:v>
                </c:pt>
                <c:pt idx="704">
                  <c:v>57.160000000000089</c:v>
                </c:pt>
                <c:pt idx="705">
                  <c:v>57.160000000000089</c:v>
                </c:pt>
                <c:pt idx="706">
                  <c:v>57.160000000000089</c:v>
                </c:pt>
                <c:pt idx="707">
                  <c:v>57.160000000000089</c:v>
                </c:pt>
                <c:pt idx="708">
                  <c:v>57.160000000000089</c:v>
                </c:pt>
                <c:pt idx="709">
                  <c:v>57.160000000000089</c:v>
                </c:pt>
                <c:pt idx="710">
                  <c:v>57.160000000000089</c:v>
                </c:pt>
                <c:pt idx="711">
                  <c:v>57.160000000000089</c:v>
                </c:pt>
                <c:pt idx="712">
                  <c:v>57.160000000000089</c:v>
                </c:pt>
                <c:pt idx="713">
                  <c:v>57.160000000000089</c:v>
                </c:pt>
                <c:pt idx="714">
                  <c:v>57.160000000000089</c:v>
                </c:pt>
                <c:pt idx="715">
                  <c:v>57.160000000000089</c:v>
                </c:pt>
                <c:pt idx="716">
                  <c:v>57.160000000000089</c:v>
                </c:pt>
                <c:pt idx="717">
                  <c:v>57.160000000000089</c:v>
                </c:pt>
                <c:pt idx="718">
                  <c:v>57.160000000000089</c:v>
                </c:pt>
                <c:pt idx="719">
                  <c:v>57.160000000000089</c:v>
                </c:pt>
                <c:pt idx="720">
                  <c:v>57.160000000000089</c:v>
                </c:pt>
                <c:pt idx="721">
                  <c:v>57.160000000000089</c:v>
                </c:pt>
                <c:pt idx="722">
                  <c:v>57.160000000000089</c:v>
                </c:pt>
                <c:pt idx="723">
                  <c:v>57.160000000000089</c:v>
                </c:pt>
                <c:pt idx="724">
                  <c:v>57.160000000000089</c:v>
                </c:pt>
                <c:pt idx="725">
                  <c:v>57.160000000000089</c:v>
                </c:pt>
                <c:pt idx="726">
                  <c:v>56.280000000000086</c:v>
                </c:pt>
                <c:pt idx="727">
                  <c:v>55.400000000000084</c:v>
                </c:pt>
                <c:pt idx="728">
                  <c:v>54.520000000000081</c:v>
                </c:pt>
                <c:pt idx="729">
                  <c:v>53.640000000000079</c:v>
                </c:pt>
                <c:pt idx="730">
                  <c:v>52.760000000000076</c:v>
                </c:pt>
                <c:pt idx="731">
                  <c:v>51.880000000000074</c:v>
                </c:pt>
                <c:pt idx="732">
                  <c:v>51.000000000000071</c:v>
                </c:pt>
                <c:pt idx="733">
                  <c:v>50.120000000000068</c:v>
                </c:pt>
                <c:pt idx="734">
                  <c:v>49.240000000000066</c:v>
                </c:pt>
                <c:pt idx="735">
                  <c:v>48.360000000000063</c:v>
                </c:pt>
                <c:pt idx="736">
                  <c:v>47.480000000000061</c:v>
                </c:pt>
                <c:pt idx="737">
                  <c:v>46.600000000000058</c:v>
                </c:pt>
                <c:pt idx="738">
                  <c:v>45.720000000000056</c:v>
                </c:pt>
                <c:pt idx="739">
                  <c:v>44.840000000000053</c:v>
                </c:pt>
                <c:pt idx="740">
                  <c:v>43.960000000000051</c:v>
                </c:pt>
                <c:pt idx="741">
                  <c:v>43.080000000000048</c:v>
                </c:pt>
                <c:pt idx="742">
                  <c:v>42.200000000000045</c:v>
                </c:pt>
                <c:pt idx="743">
                  <c:v>41.320000000000043</c:v>
                </c:pt>
                <c:pt idx="744">
                  <c:v>40.44000000000004</c:v>
                </c:pt>
                <c:pt idx="745">
                  <c:v>39.560000000000038</c:v>
                </c:pt>
                <c:pt idx="746">
                  <c:v>38.680000000000035</c:v>
                </c:pt>
                <c:pt idx="747">
                  <c:v>37.800000000000033</c:v>
                </c:pt>
                <c:pt idx="748">
                  <c:v>36.92000000000003</c:v>
                </c:pt>
                <c:pt idx="749">
                  <c:v>36.040000000000028</c:v>
                </c:pt>
                <c:pt idx="750">
                  <c:v>35.160000000000025</c:v>
                </c:pt>
                <c:pt idx="751">
                  <c:v>35.160000000000025</c:v>
                </c:pt>
                <c:pt idx="752">
                  <c:v>35.160000000000025</c:v>
                </c:pt>
                <c:pt idx="753">
                  <c:v>35.160000000000025</c:v>
                </c:pt>
                <c:pt idx="754">
                  <c:v>35.160000000000025</c:v>
                </c:pt>
                <c:pt idx="755">
                  <c:v>35.160000000000025</c:v>
                </c:pt>
                <c:pt idx="756">
                  <c:v>35.160000000000025</c:v>
                </c:pt>
                <c:pt idx="757">
                  <c:v>35.160000000000025</c:v>
                </c:pt>
                <c:pt idx="758">
                  <c:v>35.160000000000025</c:v>
                </c:pt>
                <c:pt idx="759">
                  <c:v>35.160000000000025</c:v>
                </c:pt>
                <c:pt idx="760">
                  <c:v>35.160000000000025</c:v>
                </c:pt>
                <c:pt idx="761">
                  <c:v>35.160000000000025</c:v>
                </c:pt>
                <c:pt idx="762">
                  <c:v>35.160000000000025</c:v>
                </c:pt>
                <c:pt idx="763">
                  <c:v>35.160000000000025</c:v>
                </c:pt>
                <c:pt idx="764">
                  <c:v>35.160000000000025</c:v>
                </c:pt>
                <c:pt idx="765">
                  <c:v>35.160000000000025</c:v>
                </c:pt>
                <c:pt idx="766">
                  <c:v>35.160000000000025</c:v>
                </c:pt>
                <c:pt idx="767">
                  <c:v>35.160000000000025</c:v>
                </c:pt>
                <c:pt idx="768">
                  <c:v>35.160000000000025</c:v>
                </c:pt>
                <c:pt idx="769">
                  <c:v>35.160000000000025</c:v>
                </c:pt>
                <c:pt idx="770">
                  <c:v>35.160000000000025</c:v>
                </c:pt>
                <c:pt idx="771">
                  <c:v>35.160000000000025</c:v>
                </c:pt>
                <c:pt idx="772">
                  <c:v>35.160000000000025</c:v>
                </c:pt>
                <c:pt idx="773">
                  <c:v>35.160000000000025</c:v>
                </c:pt>
                <c:pt idx="774">
                  <c:v>35.160000000000025</c:v>
                </c:pt>
                <c:pt idx="775">
                  <c:v>35.160000000000025</c:v>
                </c:pt>
                <c:pt idx="776">
                  <c:v>35.160000000000025</c:v>
                </c:pt>
                <c:pt idx="777">
                  <c:v>35.160000000000025</c:v>
                </c:pt>
                <c:pt idx="778">
                  <c:v>35.160000000000025</c:v>
                </c:pt>
                <c:pt idx="779">
                  <c:v>35.160000000000025</c:v>
                </c:pt>
                <c:pt idx="780">
                  <c:v>35.160000000000025</c:v>
                </c:pt>
                <c:pt idx="781">
                  <c:v>35.160000000000025</c:v>
                </c:pt>
                <c:pt idx="782">
                  <c:v>35.160000000000025</c:v>
                </c:pt>
                <c:pt idx="783">
                  <c:v>35.160000000000025</c:v>
                </c:pt>
                <c:pt idx="784">
                  <c:v>35.160000000000025</c:v>
                </c:pt>
                <c:pt idx="785">
                  <c:v>35.160000000000025</c:v>
                </c:pt>
                <c:pt idx="786">
                  <c:v>35.160000000000025</c:v>
                </c:pt>
                <c:pt idx="787">
                  <c:v>35.160000000000025</c:v>
                </c:pt>
                <c:pt idx="788">
                  <c:v>35.160000000000025</c:v>
                </c:pt>
                <c:pt idx="789">
                  <c:v>35.160000000000025</c:v>
                </c:pt>
                <c:pt idx="790">
                  <c:v>35.160000000000025</c:v>
                </c:pt>
                <c:pt idx="791">
                  <c:v>35.160000000000025</c:v>
                </c:pt>
                <c:pt idx="792">
                  <c:v>35.160000000000025</c:v>
                </c:pt>
                <c:pt idx="793">
                  <c:v>35.160000000000025</c:v>
                </c:pt>
                <c:pt idx="794">
                  <c:v>35.160000000000025</c:v>
                </c:pt>
                <c:pt idx="795">
                  <c:v>35.160000000000025</c:v>
                </c:pt>
                <c:pt idx="796">
                  <c:v>35.160000000000025</c:v>
                </c:pt>
                <c:pt idx="797">
                  <c:v>35.160000000000025</c:v>
                </c:pt>
                <c:pt idx="798">
                  <c:v>35.160000000000025</c:v>
                </c:pt>
                <c:pt idx="799">
                  <c:v>35.160000000000025</c:v>
                </c:pt>
                <c:pt idx="800">
                  <c:v>35.160000000000025</c:v>
                </c:pt>
                <c:pt idx="801">
                  <c:v>35.160000000000025</c:v>
                </c:pt>
                <c:pt idx="802">
                  <c:v>38.040000000000028</c:v>
                </c:pt>
                <c:pt idx="803">
                  <c:v>40.92000000000003</c:v>
                </c:pt>
                <c:pt idx="804">
                  <c:v>43.800000000000033</c:v>
                </c:pt>
                <c:pt idx="805">
                  <c:v>46.680000000000035</c:v>
                </c:pt>
                <c:pt idx="806">
                  <c:v>49.560000000000038</c:v>
                </c:pt>
                <c:pt idx="807">
                  <c:v>52.44000000000004</c:v>
                </c:pt>
                <c:pt idx="808">
                  <c:v>55.320000000000043</c:v>
                </c:pt>
                <c:pt idx="809">
                  <c:v>58.200000000000045</c:v>
                </c:pt>
                <c:pt idx="810">
                  <c:v>61.080000000000048</c:v>
                </c:pt>
                <c:pt idx="811">
                  <c:v>63.960000000000051</c:v>
                </c:pt>
                <c:pt idx="812">
                  <c:v>66.840000000000046</c:v>
                </c:pt>
                <c:pt idx="813">
                  <c:v>69.720000000000041</c:v>
                </c:pt>
                <c:pt idx="814">
                  <c:v>72.600000000000037</c:v>
                </c:pt>
                <c:pt idx="815">
                  <c:v>75.480000000000032</c:v>
                </c:pt>
                <c:pt idx="816">
                  <c:v>78.360000000000028</c:v>
                </c:pt>
                <c:pt idx="817">
                  <c:v>81.240000000000023</c:v>
                </c:pt>
                <c:pt idx="818">
                  <c:v>84.120000000000019</c:v>
                </c:pt>
                <c:pt idx="819">
                  <c:v>87.000000000000014</c:v>
                </c:pt>
                <c:pt idx="820">
                  <c:v>89.88000000000001</c:v>
                </c:pt>
                <c:pt idx="821">
                  <c:v>92.76</c:v>
                </c:pt>
                <c:pt idx="822">
                  <c:v>95.64</c:v>
                </c:pt>
                <c:pt idx="823">
                  <c:v>98.52</c:v>
                </c:pt>
                <c:pt idx="824">
                  <c:v>101.39999999999999</c:v>
                </c:pt>
                <c:pt idx="825">
                  <c:v>104.27999999999999</c:v>
                </c:pt>
                <c:pt idx="826">
                  <c:v>107.15999999999998</c:v>
                </c:pt>
                <c:pt idx="827">
                  <c:v>107.15999999999998</c:v>
                </c:pt>
                <c:pt idx="828">
                  <c:v>107.15999999999998</c:v>
                </c:pt>
                <c:pt idx="829">
                  <c:v>107.15999999999998</c:v>
                </c:pt>
                <c:pt idx="830">
                  <c:v>107.15999999999998</c:v>
                </c:pt>
                <c:pt idx="831">
                  <c:v>107.15999999999998</c:v>
                </c:pt>
                <c:pt idx="832">
                  <c:v>107.15999999999998</c:v>
                </c:pt>
                <c:pt idx="833">
                  <c:v>107.15999999999998</c:v>
                </c:pt>
                <c:pt idx="834">
                  <c:v>107.15999999999998</c:v>
                </c:pt>
                <c:pt idx="835">
                  <c:v>107.15999999999998</c:v>
                </c:pt>
                <c:pt idx="836">
                  <c:v>107.15999999999998</c:v>
                </c:pt>
                <c:pt idx="837">
                  <c:v>107.15999999999998</c:v>
                </c:pt>
                <c:pt idx="838">
                  <c:v>107.15999999999998</c:v>
                </c:pt>
                <c:pt idx="839">
                  <c:v>107.15999999999998</c:v>
                </c:pt>
                <c:pt idx="840">
                  <c:v>107.15999999999998</c:v>
                </c:pt>
                <c:pt idx="841">
                  <c:v>107.15999999999998</c:v>
                </c:pt>
                <c:pt idx="842">
                  <c:v>107.15999999999998</c:v>
                </c:pt>
                <c:pt idx="843">
                  <c:v>107.15999999999998</c:v>
                </c:pt>
                <c:pt idx="844">
                  <c:v>107.15999999999998</c:v>
                </c:pt>
                <c:pt idx="845">
                  <c:v>107.15999999999998</c:v>
                </c:pt>
                <c:pt idx="846">
                  <c:v>107.15999999999998</c:v>
                </c:pt>
                <c:pt idx="847">
                  <c:v>107.15999999999998</c:v>
                </c:pt>
                <c:pt idx="848">
                  <c:v>107.15999999999998</c:v>
                </c:pt>
                <c:pt idx="849">
                  <c:v>107.15999999999998</c:v>
                </c:pt>
                <c:pt idx="850">
                  <c:v>107.15999999999998</c:v>
                </c:pt>
                <c:pt idx="851">
                  <c:v>107.15999999999998</c:v>
                </c:pt>
                <c:pt idx="852">
                  <c:v>104.27999999999999</c:v>
                </c:pt>
                <c:pt idx="853">
                  <c:v>101.39999999999999</c:v>
                </c:pt>
                <c:pt idx="854">
                  <c:v>98.52</c:v>
                </c:pt>
                <c:pt idx="855">
                  <c:v>95.64</c:v>
                </c:pt>
                <c:pt idx="856">
                  <c:v>92.76</c:v>
                </c:pt>
                <c:pt idx="857">
                  <c:v>89.88000000000001</c:v>
                </c:pt>
                <c:pt idx="858">
                  <c:v>87.000000000000014</c:v>
                </c:pt>
                <c:pt idx="859">
                  <c:v>84.120000000000019</c:v>
                </c:pt>
                <c:pt idx="860">
                  <c:v>81.240000000000023</c:v>
                </c:pt>
                <c:pt idx="861">
                  <c:v>78.360000000000028</c:v>
                </c:pt>
                <c:pt idx="862">
                  <c:v>75.480000000000032</c:v>
                </c:pt>
                <c:pt idx="863">
                  <c:v>72.600000000000037</c:v>
                </c:pt>
                <c:pt idx="864">
                  <c:v>69.720000000000041</c:v>
                </c:pt>
                <c:pt idx="865">
                  <c:v>66.840000000000046</c:v>
                </c:pt>
                <c:pt idx="866">
                  <c:v>63.960000000000043</c:v>
                </c:pt>
                <c:pt idx="867">
                  <c:v>61.080000000000041</c:v>
                </c:pt>
                <c:pt idx="868">
                  <c:v>58.200000000000038</c:v>
                </c:pt>
                <c:pt idx="869">
                  <c:v>55.320000000000036</c:v>
                </c:pt>
                <c:pt idx="870">
                  <c:v>52.440000000000033</c:v>
                </c:pt>
                <c:pt idx="871">
                  <c:v>49.560000000000031</c:v>
                </c:pt>
                <c:pt idx="872">
                  <c:v>46.680000000000028</c:v>
                </c:pt>
                <c:pt idx="873">
                  <c:v>43.800000000000026</c:v>
                </c:pt>
                <c:pt idx="874">
                  <c:v>40.920000000000023</c:v>
                </c:pt>
                <c:pt idx="875">
                  <c:v>38.04000000000002</c:v>
                </c:pt>
                <c:pt idx="876">
                  <c:v>35.160000000000018</c:v>
                </c:pt>
                <c:pt idx="877">
                  <c:v>35.160000000000018</c:v>
                </c:pt>
                <c:pt idx="878">
                  <c:v>35.160000000000018</c:v>
                </c:pt>
                <c:pt idx="879">
                  <c:v>35.160000000000018</c:v>
                </c:pt>
                <c:pt idx="880">
                  <c:v>35.160000000000018</c:v>
                </c:pt>
                <c:pt idx="881">
                  <c:v>35.160000000000018</c:v>
                </c:pt>
                <c:pt idx="882">
                  <c:v>35.160000000000018</c:v>
                </c:pt>
                <c:pt idx="883">
                  <c:v>35.160000000000018</c:v>
                </c:pt>
                <c:pt idx="884">
                  <c:v>35.160000000000018</c:v>
                </c:pt>
                <c:pt idx="885">
                  <c:v>35.160000000000018</c:v>
                </c:pt>
                <c:pt idx="886">
                  <c:v>35.160000000000018</c:v>
                </c:pt>
                <c:pt idx="887">
                  <c:v>35.160000000000018</c:v>
                </c:pt>
                <c:pt idx="888">
                  <c:v>35.160000000000018</c:v>
                </c:pt>
                <c:pt idx="889">
                  <c:v>35.160000000000018</c:v>
                </c:pt>
                <c:pt idx="890">
                  <c:v>35.160000000000018</c:v>
                </c:pt>
                <c:pt idx="891">
                  <c:v>35.160000000000018</c:v>
                </c:pt>
                <c:pt idx="892">
                  <c:v>35.160000000000018</c:v>
                </c:pt>
                <c:pt idx="893">
                  <c:v>35.160000000000018</c:v>
                </c:pt>
                <c:pt idx="894">
                  <c:v>35.160000000000018</c:v>
                </c:pt>
                <c:pt idx="895">
                  <c:v>35.160000000000018</c:v>
                </c:pt>
                <c:pt idx="896">
                  <c:v>35.160000000000018</c:v>
                </c:pt>
                <c:pt idx="897">
                  <c:v>35.160000000000018</c:v>
                </c:pt>
                <c:pt idx="898">
                  <c:v>35.160000000000018</c:v>
                </c:pt>
                <c:pt idx="899">
                  <c:v>35.160000000000018</c:v>
                </c:pt>
                <c:pt idx="900">
                  <c:v>35.160000000000018</c:v>
                </c:pt>
                <c:pt idx="901">
                  <c:v>35.160000000000018</c:v>
                </c:pt>
                <c:pt idx="902">
                  <c:v>35.160000000000018</c:v>
                </c:pt>
                <c:pt idx="903">
                  <c:v>35.160000000000018</c:v>
                </c:pt>
                <c:pt idx="904">
                  <c:v>35.160000000000018</c:v>
                </c:pt>
                <c:pt idx="905">
                  <c:v>35.160000000000018</c:v>
                </c:pt>
                <c:pt idx="906">
                  <c:v>35.160000000000018</c:v>
                </c:pt>
                <c:pt idx="907">
                  <c:v>35.160000000000018</c:v>
                </c:pt>
                <c:pt idx="908">
                  <c:v>35.160000000000018</c:v>
                </c:pt>
                <c:pt idx="909">
                  <c:v>35.160000000000018</c:v>
                </c:pt>
                <c:pt idx="910">
                  <c:v>35.160000000000018</c:v>
                </c:pt>
                <c:pt idx="911">
                  <c:v>35.160000000000018</c:v>
                </c:pt>
                <c:pt idx="912">
                  <c:v>35.160000000000018</c:v>
                </c:pt>
                <c:pt idx="913">
                  <c:v>35.160000000000018</c:v>
                </c:pt>
                <c:pt idx="914">
                  <c:v>35.160000000000018</c:v>
                </c:pt>
                <c:pt idx="915">
                  <c:v>35.160000000000018</c:v>
                </c:pt>
                <c:pt idx="916">
                  <c:v>35.160000000000018</c:v>
                </c:pt>
                <c:pt idx="917">
                  <c:v>35.160000000000018</c:v>
                </c:pt>
                <c:pt idx="918">
                  <c:v>35.160000000000018</c:v>
                </c:pt>
                <c:pt idx="919">
                  <c:v>35.160000000000018</c:v>
                </c:pt>
                <c:pt idx="920">
                  <c:v>35.160000000000018</c:v>
                </c:pt>
                <c:pt idx="921">
                  <c:v>35.160000000000018</c:v>
                </c:pt>
                <c:pt idx="922">
                  <c:v>35.160000000000018</c:v>
                </c:pt>
                <c:pt idx="923">
                  <c:v>35.160000000000018</c:v>
                </c:pt>
                <c:pt idx="924">
                  <c:v>35.160000000000018</c:v>
                </c:pt>
                <c:pt idx="925">
                  <c:v>35.160000000000018</c:v>
                </c:pt>
                <c:pt idx="926">
                  <c:v>35.160000000000018</c:v>
                </c:pt>
                <c:pt idx="927">
                  <c:v>40.04000000000002</c:v>
                </c:pt>
                <c:pt idx="928">
                  <c:v>44.920000000000023</c:v>
                </c:pt>
                <c:pt idx="929">
                  <c:v>49.800000000000026</c:v>
                </c:pt>
                <c:pt idx="930">
                  <c:v>54.680000000000028</c:v>
                </c:pt>
                <c:pt idx="931">
                  <c:v>59.560000000000031</c:v>
                </c:pt>
                <c:pt idx="932">
                  <c:v>64.440000000000026</c:v>
                </c:pt>
                <c:pt idx="933">
                  <c:v>69.320000000000022</c:v>
                </c:pt>
                <c:pt idx="934">
                  <c:v>74.200000000000017</c:v>
                </c:pt>
                <c:pt idx="935">
                  <c:v>79.080000000000013</c:v>
                </c:pt>
                <c:pt idx="936">
                  <c:v>83.960000000000008</c:v>
                </c:pt>
                <c:pt idx="937">
                  <c:v>88.84</c:v>
                </c:pt>
                <c:pt idx="938">
                  <c:v>93.72</c:v>
                </c:pt>
                <c:pt idx="939">
                  <c:v>98.6</c:v>
                </c:pt>
                <c:pt idx="940">
                  <c:v>103.47999999999999</c:v>
                </c:pt>
                <c:pt idx="941">
                  <c:v>108.35999999999999</c:v>
                </c:pt>
                <c:pt idx="942">
                  <c:v>113.23999999999998</c:v>
                </c:pt>
                <c:pt idx="943">
                  <c:v>118.11999999999998</c:v>
                </c:pt>
                <c:pt idx="944">
                  <c:v>122.99999999999997</c:v>
                </c:pt>
                <c:pt idx="945">
                  <c:v>127.87999999999997</c:v>
                </c:pt>
                <c:pt idx="946">
                  <c:v>132.75999999999996</c:v>
                </c:pt>
                <c:pt idx="947">
                  <c:v>137.63999999999996</c:v>
                </c:pt>
                <c:pt idx="948">
                  <c:v>142.51999999999995</c:v>
                </c:pt>
                <c:pt idx="949">
                  <c:v>147.39999999999995</c:v>
                </c:pt>
                <c:pt idx="950">
                  <c:v>152.27999999999994</c:v>
                </c:pt>
                <c:pt idx="951">
                  <c:v>157.15999999999994</c:v>
                </c:pt>
                <c:pt idx="952">
                  <c:v>157.15999999999994</c:v>
                </c:pt>
                <c:pt idx="953">
                  <c:v>157.15999999999994</c:v>
                </c:pt>
                <c:pt idx="954">
                  <c:v>157.15999999999994</c:v>
                </c:pt>
                <c:pt idx="955">
                  <c:v>157.15999999999994</c:v>
                </c:pt>
                <c:pt idx="956">
                  <c:v>157.15999999999994</c:v>
                </c:pt>
                <c:pt idx="957">
                  <c:v>157.15999999999994</c:v>
                </c:pt>
                <c:pt idx="958">
                  <c:v>157.15999999999994</c:v>
                </c:pt>
                <c:pt idx="959">
                  <c:v>157.15999999999994</c:v>
                </c:pt>
                <c:pt idx="960">
                  <c:v>157.15999999999994</c:v>
                </c:pt>
                <c:pt idx="961">
                  <c:v>157.15999999999994</c:v>
                </c:pt>
                <c:pt idx="962">
                  <c:v>157.15999999999994</c:v>
                </c:pt>
                <c:pt idx="963">
                  <c:v>157.15999999999994</c:v>
                </c:pt>
                <c:pt idx="964">
                  <c:v>157.15999999999994</c:v>
                </c:pt>
                <c:pt idx="965">
                  <c:v>157.15999999999994</c:v>
                </c:pt>
                <c:pt idx="966">
                  <c:v>157.15999999999994</c:v>
                </c:pt>
                <c:pt idx="967">
                  <c:v>157.15999999999994</c:v>
                </c:pt>
                <c:pt idx="968">
                  <c:v>157.15999999999994</c:v>
                </c:pt>
                <c:pt idx="969">
                  <c:v>157.15999999999994</c:v>
                </c:pt>
                <c:pt idx="970">
                  <c:v>157.15999999999994</c:v>
                </c:pt>
                <c:pt idx="971">
                  <c:v>157.15999999999994</c:v>
                </c:pt>
                <c:pt idx="972">
                  <c:v>157.15999999999994</c:v>
                </c:pt>
                <c:pt idx="973">
                  <c:v>157.15999999999994</c:v>
                </c:pt>
                <c:pt idx="974">
                  <c:v>157.15999999999994</c:v>
                </c:pt>
                <c:pt idx="975">
                  <c:v>157.15999999999994</c:v>
                </c:pt>
                <c:pt idx="976">
                  <c:v>157.15999999999994</c:v>
                </c:pt>
                <c:pt idx="977">
                  <c:v>152.27999999999994</c:v>
                </c:pt>
                <c:pt idx="978">
                  <c:v>147.39999999999995</c:v>
                </c:pt>
                <c:pt idx="979">
                  <c:v>142.51999999999995</c:v>
                </c:pt>
                <c:pt idx="980">
                  <c:v>137.63999999999996</c:v>
                </c:pt>
                <c:pt idx="981">
                  <c:v>132.75999999999996</c:v>
                </c:pt>
                <c:pt idx="982">
                  <c:v>127.87999999999997</c:v>
                </c:pt>
                <c:pt idx="983">
                  <c:v>122.99999999999997</c:v>
                </c:pt>
                <c:pt idx="984">
                  <c:v>118.11999999999998</c:v>
                </c:pt>
                <c:pt idx="985">
                  <c:v>113.23999999999998</c:v>
                </c:pt>
                <c:pt idx="986">
                  <c:v>108.35999999999999</c:v>
                </c:pt>
                <c:pt idx="987">
                  <c:v>103.47999999999999</c:v>
                </c:pt>
                <c:pt idx="988">
                  <c:v>98.6</c:v>
                </c:pt>
                <c:pt idx="989">
                  <c:v>93.72</c:v>
                </c:pt>
                <c:pt idx="990">
                  <c:v>88.84</c:v>
                </c:pt>
                <c:pt idx="991">
                  <c:v>83.960000000000008</c:v>
                </c:pt>
                <c:pt idx="992">
                  <c:v>79.080000000000013</c:v>
                </c:pt>
                <c:pt idx="993">
                  <c:v>74.200000000000017</c:v>
                </c:pt>
                <c:pt idx="994">
                  <c:v>69.320000000000022</c:v>
                </c:pt>
                <c:pt idx="995">
                  <c:v>64.440000000000026</c:v>
                </c:pt>
                <c:pt idx="996">
                  <c:v>59.560000000000024</c:v>
                </c:pt>
                <c:pt idx="997">
                  <c:v>54.680000000000021</c:v>
                </c:pt>
                <c:pt idx="998">
                  <c:v>49.800000000000018</c:v>
                </c:pt>
                <c:pt idx="999">
                  <c:v>44.920000000000016</c:v>
                </c:pt>
                <c:pt idx="1000">
                  <c:v>40.040000000000013</c:v>
                </c:pt>
                <c:pt idx="1001">
                  <c:v>35.160000000000011</c:v>
                </c:pt>
                <c:pt idx="1002">
                  <c:v>35.160000000000011</c:v>
                </c:pt>
                <c:pt idx="1003">
                  <c:v>35.160000000000011</c:v>
                </c:pt>
                <c:pt idx="1004">
                  <c:v>35.160000000000011</c:v>
                </c:pt>
                <c:pt idx="1005">
                  <c:v>35.160000000000011</c:v>
                </c:pt>
                <c:pt idx="1006">
                  <c:v>35.160000000000011</c:v>
                </c:pt>
                <c:pt idx="1007">
                  <c:v>35.160000000000011</c:v>
                </c:pt>
                <c:pt idx="1008">
                  <c:v>35.160000000000011</c:v>
                </c:pt>
                <c:pt idx="1009">
                  <c:v>35.160000000000011</c:v>
                </c:pt>
                <c:pt idx="1010">
                  <c:v>35.160000000000011</c:v>
                </c:pt>
                <c:pt idx="1011">
                  <c:v>35.160000000000011</c:v>
                </c:pt>
                <c:pt idx="1012">
                  <c:v>35.160000000000011</c:v>
                </c:pt>
                <c:pt idx="1013">
                  <c:v>35.160000000000011</c:v>
                </c:pt>
                <c:pt idx="1014">
                  <c:v>35.160000000000011</c:v>
                </c:pt>
                <c:pt idx="1015">
                  <c:v>35.160000000000011</c:v>
                </c:pt>
                <c:pt idx="1016">
                  <c:v>35.160000000000011</c:v>
                </c:pt>
                <c:pt idx="1017">
                  <c:v>35.160000000000011</c:v>
                </c:pt>
                <c:pt idx="1018">
                  <c:v>35.160000000000011</c:v>
                </c:pt>
                <c:pt idx="1019">
                  <c:v>35.160000000000011</c:v>
                </c:pt>
                <c:pt idx="1020">
                  <c:v>35.160000000000011</c:v>
                </c:pt>
                <c:pt idx="1021">
                  <c:v>35.160000000000011</c:v>
                </c:pt>
                <c:pt idx="1022">
                  <c:v>35.160000000000011</c:v>
                </c:pt>
                <c:pt idx="1023">
                  <c:v>35.160000000000011</c:v>
                </c:pt>
                <c:pt idx="1024">
                  <c:v>35.160000000000011</c:v>
                </c:pt>
                <c:pt idx="1025">
                  <c:v>35.160000000000011</c:v>
                </c:pt>
                <c:pt idx="1026">
                  <c:v>35.160000000000011</c:v>
                </c:pt>
                <c:pt idx="1027">
                  <c:v>35.160000000000011</c:v>
                </c:pt>
                <c:pt idx="1028">
                  <c:v>35.160000000000011</c:v>
                </c:pt>
                <c:pt idx="1029">
                  <c:v>35.160000000000011</c:v>
                </c:pt>
                <c:pt idx="1030">
                  <c:v>35.160000000000011</c:v>
                </c:pt>
                <c:pt idx="1031">
                  <c:v>35.160000000000011</c:v>
                </c:pt>
                <c:pt idx="1032">
                  <c:v>35.160000000000011</c:v>
                </c:pt>
                <c:pt idx="1033">
                  <c:v>35.160000000000011</c:v>
                </c:pt>
                <c:pt idx="1034">
                  <c:v>35.160000000000011</c:v>
                </c:pt>
                <c:pt idx="1035">
                  <c:v>35.160000000000011</c:v>
                </c:pt>
                <c:pt idx="1036">
                  <c:v>35.160000000000011</c:v>
                </c:pt>
                <c:pt idx="1037">
                  <c:v>35.160000000000011</c:v>
                </c:pt>
                <c:pt idx="1038">
                  <c:v>35.160000000000011</c:v>
                </c:pt>
                <c:pt idx="1039">
                  <c:v>35.160000000000011</c:v>
                </c:pt>
                <c:pt idx="1040">
                  <c:v>35.160000000000011</c:v>
                </c:pt>
                <c:pt idx="1041">
                  <c:v>35.160000000000011</c:v>
                </c:pt>
                <c:pt idx="1042">
                  <c:v>35.160000000000011</c:v>
                </c:pt>
                <c:pt idx="1043">
                  <c:v>35.160000000000011</c:v>
                </c:pt>
                <c:pt idx="1044">
                  <c:v>35.160000000000011</c:v>
                </c:pt>
                <c:pt idx="1045">
                  <c:v>35.160000000000011</c:v>
                </c:pt>
                <c:pt idx="1046">
                  <c:v>35.160000000000011</c:v>
                </c:pt>
                <c:pt idx="1047">
                  <c:v>35.160000000000011</c:v>
                </c:pt>
                <c:pt idx="1048">
                  <c:v>35.160000000000011</c:v>
                </c:pt>
                <c:pt idx="1049">
                  <c:v>35.160000000000011</c:v>
                </c:pt>
                <c:pt idx="1050">
                  <c:v>35.160000000000011</c:v>
                </c:pt>
                <c:pt idx="1051">
                  <c:v>35.160000000000011</c:v>
                </c:pt>
                <c:pt idx="1052">
                  <c:v>35.453333333333347</c:v>
                </c:pt>
                <c:pt idx="1053">
                  <c:v>35.746666666666684</c:v>
                </c:pt>
                <c:pt idx="1054">
                  <c:v>36.04000000000002</c:v>
                </c:pt>
                <c:pt idx="1055">
                  <c:v>36.333333333333357</c:v>
                </c:pt>
                <c:pt idx="1056">
                  <c:v>36.626666666666694</c:v>
                </c:pt>
                <c:pt idx="1057">
                  <c:v>36.92000000000003</c:v>
                </c:pt>
                <c:pt idx="1058">
                  <c:v>37.213333333333367</c:v>
                </c:pt>
                <c:pt idx="1059">
                  <c:v>37.506666666666703</c:v>
                </c:pt>
                <c:pt idx="1060">
                  <c:v>37.80000000000004</c:v>
                </c:pt>
                <c:pt idx="1061">
                  <c:v>38.093333333333376</c:v>
                </c:pt>
                <c:pt idx="1062">
                  <c:v>38.386666666666713</c:v>
                </c:pt>
                <c:pt idx="1063">
                  <c:v>38.680000000000049</c:v>
                </c:pt>
                <c:pt idx="1064">
                  <c:v>38.973333333333386</c:v>
                </c:pt>
                <c:pt idx="1065">
                  <c:v>39.266666666666723</c:v>
                </c:pt>
                <c:pt idx="1066">
                  <c:v>39.560000000000059</c:v>
                </c:pt>
                <c:pt idx="1067">
                  <c:v>39.853333333333396</c:v>
                </c:pt>
                <c:pt idx="1068">
                  <c:v>40.146666666666732</c:v>
                </c:pt>
                <c:pt idx="1069">
                  <c:v>40.440000000000069</c:v>
                </c:pt>
                <c:pt idx="1070">
                  <c:v>40.733333333333405</c:v>
                </c:pt>
                <c:pt idx="1071">
                  <c:v>41.026666666666742</c:v>
                </c:pt>
                <c:pt idx="1072">
                  <c:v>41.320000000000078</c:v>
                </c:pt>
                <c:pt idx="1073">
                  <c:v>41.613333333333415</c:v>
                </c:pt>
                <c:pt idx="1074">
                  <c:v>41.906666666666752</c:v>
                </c:pt>
                <c:pt idx="1075">
                  <c:v>42.200000000000088</c:v>
                </c:pt>
                <c:pt idx="1076">
                  <c:v>42.493333333333425</c:v>
                </c:pt>
                <c:pt idx="1077">
                  <c:v>42.786666666666761</c:v>
                </c:pt>
                <c:pt idx="1078">
                  <c:v>43.080000000000098</c:v>
                </c:pt>
                <c:pt idx="1079">
                  <c:v>43.373333333333434</c:v>
                </c:pt>
                <c:pt idx="1080">
                  <c:v>43.666666666666771</c:v>
                </c:pt>
                <c:pt idx="1081">
                  <c:v>43.960000000000107</c:v>
                </c:pt>
                <c:pt idx="1082">
                  <c:v>44.253333333333444</c:v>
                </c:pt>
                <c:pt idx="1083">
                  <c:v>44.546666666666781</c:v>
                </c:pt>
                <c:pt idx="1084">
                  <c:v>44.840000000000117</c:v>
                </c:pt>
                <c:pt idx="1085">
                  <c:v>45.133333333333454</c:v>
                </c:pt>
                <c:pt idx="1086">
                  <c:v>45.42666666666679</c:v>
                </c:pt>
                <c:pt idx="1087">
                  <c:v>45.720000000000127</c:v>
                </c:pt>
                <c:pt idx="1088">
                  <c:v>46.013333333333463</c:v>
                </c:pt>
                <c:pt idx="1089">
                  <c:v>46.3066666666668</c:v>
                </c:pt>
                <c:pt idx="1090">
                  <c:v>46.600000000000136</c:v>
                </c:pt>
                <c:pt idx="1091">
                  <c:v>46.893333333333473</c:v>
                </c:pt>
                <c:pt idx="1092">
                  <c:v>47.18666666666681</c:v>
                </c:pt>
                <c:pt idx="1093">
                  <c:v>47.480000000000146</c:v>
                </c:pt>
                <c:pt idx="1094">
                  <c:v>47.773333333333483</c:v>
                </c:pt>
                <c:pt idx="1095">
                  <c:v>48.066666666666819</c:v>
                </c:pt>
                <c:pt idx="1096">
                  <c:v>48.360000000000156</c:v>
                </c:pt>
                <c:pt idx="1097">
                  <c:v>48.653333333333492</c:v>
                </c:pt>
                <c:pt idx="1098">
                  <c:v>48.946666666666829</c:v>
                </c:pt>
                <c:pt idx="1099">
                  <c:v>49.240000000000165</c:v>
                </c:pt>
                <c:pt idx="1100">
                  <c:v>49.533333333333502</c:v>
                </c:pt>
                <c:pt idx="1101">
                  <c:v>49.826666666666839</c:v>
                </c:pt>
                <c:pt idx="1102">
                  <c:v>50.120000000000175</c:v>
                </c:pt>
                <c:pt idx="1103">
                  <c:v>50.413333333333512</c:v>
                </c:pt>
                <c:pt idx="1104">
                  <c:v>50.706666666666848</c:v>
                </c:pt>
                <c:pt idx="1105">
                  <c:v>51.000000000000185</c:v>
                </c:pt>
                <c:pt idx="1106">
                  <c:v>51.293333333333521</c:v>
                </c:pt>
                <c:pt idx="1107">
                  <c:v>51.586666666666858</c:v>
                </c:pt>
                <c:pt idx="1108">
                  <c:v>51.880000000000194</c:v>
                </c:pt>
                <c:pt idx="1109">
                  <c:v>52.173333333333531</c:v>
                </c:pt>
                <c:pt idx="1110">
                  <c:v>52.466666666666868</c:v>
                </c:pt>
                <c:pt idx="1111">
                  <c:v>52.760000000000204</c:v>
                </c:pt>
                <c:pt idx="1112">
                  <c:v>53.053333333333541</c:v>
                </c:pt>
                <c:pt idx="1113">
                  <c:v>53.346666666666877</c:v>
                </c:pt>
                <c:pt idx="1114">
                  <c:v>53.640000000000214</c:v>
                </c:pt>
                <c:pt idx="1115">
                  <c:v>53.93333333333355</c:v>
                </c:pt>
                <c:pt idx="1116">
                  <c:v>54.226666666666887</c:v>
                </c:pt>
                <c:pt idx="1117">
                  <c:v>54.520000000000223</c:v>
                </c:pt>
                <c:pt idx="1118">
                  <c:v>54.81333333333356</c:v>
                </c:pt>
                <c:pt idx="1119">
                  <c:v>55.106666666666897</c:v>
                </c:pt>
                <c:pt idx="1120">
                  <c:v>55.400000000000233</c:v>
                </c:pt>
                <c:pt idx="1121">
                  <c:v>55.69333333333357</c:v>
                </c:pt>
                <c:pt idx="1122">
                  <c:v>55.986666666666906</c:v>
                </c:pt>
                <c:pt idx="1123">
                  <c:v>56.280000000000243</c:v>
                </c:pt>
                <c:pt idx="1124">
                  <c:v>56.573333333333579</c:v>
                </c:pt>
                <c:pt idx="1125">
                  <c:v>56.866666666666916</c:v>
                </c:pt>
                <c:pt idx="1126">
                  <c:v>57.160000000000252</c:v>
                </c:pt>
                <c:pt idx="1127">
                  <c:v>57.160000000000252</c:v>
                </c:pt>
                <c:pt idx="1128">
                  <c:v>57.160000000000252</c:v>
                </c:pt>
                <c:pt idx="1129">
                  <c:v>57.160000000000252</c:v>
                </c:pt>
                <c:pt idx="1130">
                  <c:v>57.160000000000252</c:v>
                </c:pt>
                <c:pt idx="1131">
                  <c:v>57.160000000000252</c:v>
                </c:pt>
                <c:pt idx="1132">
                  <c:v>57.160000000000252</c:v>
                </c:pt>
                <c:pt idx="1133">
                  <c:v>57.160000000000252</c:v>
                </c:pt>
                <c:pt idx="1134">
                  <c:v>57.160000000000252</c:v>
                </c:pt>
                <c:pt idx="1135">
                  <c:v>57.160000000000252</c:v>
                </c:pt>
                <c:pt idx="1136">
                  <c:v>57.160000000000252</c:v>
                </c:pt>
                <c:pt idx="1137">
                  <c:v>57.160000000000252</c:v>
                </c:pt>
                <c:pt idx="1138">
                  <c:v>57.160000000000252</c:v>
                </c:pt>
                <c:pt idx="1139">
                  <c:v>57.160000000000252</c:v>
                </c:pt>
                <c:pt idx="1140">
                  <c:v>57.160000000000252</c:v>
                </c:pt>
                <c:pt idx="1141">
                  <c:v>57.160000000000252</c:v>
                </c:pt>
                <c:pt idx="1142">
                  <c:v>57.160000000000252</c:v>
                </c:pt>
                <c:pt idx="1143">
                  <c:v>57.160000000000252</c:v>
                </c:pt>
                <c:pt idx="1144">
                  <c:v>57.160000000000252</c:v>
                </c:pt>
                <c:pt idx="1145">
                  <c:v>57.160000000000252</c:v>
                </c:pt>
                <c:pt idx="1146">
                  <c:v>57.160000000000252</c:v>
                </c:pt>
                <c:pt idx="1147">
                  <c:v>57.160000000000252</c:v>
                </c:pt>
                <c:pt idx="1148">
                  <c:v>57.160000000000252</c:v>
                </c:pt>
                <c:pt idx="1149">
                  <c:v>57.160000000000252</c:v>
                </c:pt>
                <c:pt idx="1150">
                  <c:v>57.160000000000252</c:v>
                </c:pt>
                <c:pt idx="1151">
                  <c:v>57.160000000000252</c:v>
                </c:pt>
                <c:pt idx="1152">
                  <c:v>56.866666666666916</c:v>
                </c:pt>
                <c:pt idx="1153">
                  <c:v>56.573333333333579</c:v>
                </c:pt>
                <c:pt idx="1154">
                  <c:v>56.280000000000243</c:v>
                </c:pt>
                <c:pt idx="1155">
                  <c:v>55.986666666666906</c:v>
                </c:pt>
                <c:pt idx="1156">
                  <c:v>55.69333333333357</c:v>
                </c:pt>
                <c:pt idx="1157">
                  <c:v>55.400000000000233</c:v>
                </c:pt>
                <c:pt idx="1158">
                  <c:v>55.106666666666897</c:v>
                </c:pt>
                <c:pt idx="1159">
                  <c:v>54.81333333333356</c:v>
                </c:pt>
                <c:pt idx="1160">
                  <c:v>54.520000000000223</c:v>
                </c:pt>
                <c:pt idx="1161">
                  <c:v>54.226666666666887</c:v>
                </c:pt>
                <c:pt idx="1162">
                  <c:v>53.93333333333355</c:v>
                </c:pt>
                <c:pt idx="1163">
                  <c:v>53.640000000000214</c:v>
                </c:pt>
                <c:pt idx="1164">
                  <c:v>53.346666666666877</c:v>
                </c:pt>
                <c:pt idx="1165">
                  <c:v>53.053333333333541</c:v>
                </c:pt>
                <c:pt idx="1166">
                  <c:v>52.760000000000204</c:v>
                </c:pt>
                <c:pt idx="1167">
                  <c:v>52.466666666666868</c:v>
                </c:pt>
                <c:pt idx="1168">
                  <c:v>52.173333333333531</c:v>
                </c:pt>
                <c:pt idx="1169">
                  <c:v>51.880000000000194</c:v>
                </c:pt>
                <c:pt idx="1170">
                  <c:v>51.586666666666858</c:v>
                </c:pt>
                <c:pt idx="1171">
                  <c:v>51.293333333333521</c:v>
                </c:pt>
                <c:pt idx="1172">
                  <c:v>51.000000000000185</c:v>
                </c:pt>
                <c:pt idx="1173">
                  <c:v>50.706666666666848</c:v>
                </c:pt>
                <c:pt idx="1174">
                  <c:v>50.413333333333512</c:v>
                </c:pt>
                <c:pt idx="1175">
                  <c:v>50.120000000000175</c:v>
                </c:pt>
                <c:pt idx="1176">
                  <c:v>49.826666666666839</c:v>
                </c:pt>
                <c:pt idx="1177">
                  <c:v>49.533333333333502</c:v>
                </c:pt>
                <c:pt idx="1178">
                  <c:v>49.240000000000165</c:v>
                </c:pt>
                <c:pt idx="1179">
                  <c:v>48.946666666666829</c:v>
                </c:pt>
                <c:pt idx="1180">
                  <c:v>48.653333333333492</c:v>
                </c:pt>
                <c:pt idx="1181">
                  <c:v>48.360000000000156</c:v>
                </c:pt>
                <c:pt idx="1182">
                  <c:v>48.066666666666819</c:v>
                </c:pt>
                <c:pt idx="1183">
                  <c:v>47.773333333333483</c:v>
                </c:pt>
                <c:pt idx="1184">
                  <c:v>47.480000000000146</c:v>
                </c:pt>
                <c:pt idx="1185">
                  <c:v>47.18666666666681</c:v>
                </c:pt>
                <c:pt idx="1186">
                  <c:v>46.893333333333473</c:v>
                </c:pt>
                <c:pt idx="1187">
                  <c:v>46.600000000000136</c:v>
                </c:pt>
                <c:pt idx="1188">
                  <c:v>46.3066666666668</c:v>
                </c:pt>
                <c:pt idx="1189">
                  <c:v>46.013333333333463</c:v>
                </c:pt>
                <c:pt idx="1190">
                  <c:v>45.720000000000127</c:v>
                </c:pt>
                <c:pt idx="1191">
                  <c:v>45.42666666666679</c:v>
                </c:pt>
                <c:pt idx="1192">
                  <c:v>45.133333333333454</c:v>
                </c:pt>
                <c:pt idx="1193">
                  <c:v>44.840000000000117</c:v>
                </c:pt>
                <c:pt idx="1194">
                  <c:v>44.546666666666781</c:v>
                </c:pt>
                <c:pt idx="1195">
                  <c:v>44.253333333333444</c:v>
                </c:pt>
                <c:pt idx="1196">
                  <c:v>43.960000000000107</c:v>
                </c:pt>
                <c:pt idx="1197">
                  <c:v>43.666666666666771</c:v>
                </c:pt>
                <c:pt idx="1198">
                  <c:v>43.373333333333434</c:v>
                </c:pt>
                <c:pt idx="1199">
                  <c:v>43.080000000000098</c:v>
                </c:pt>
                <c:pt idx="1200">
                  <c:v>42.786666666666761</c:v>
                </c:pt>
                <c:pt idx="1201">
                  <c:v>42.493333333333425</c:v>
                </c:pt>
                <c:pt idx="1202">
                  <c:v>42.200000000000088</c:v>
                </c:pt>
                <c:pt idx="1203">
                  <c:v>41.906666666666752</c:v>
                </c:pt>
                <c:pt idx="1204">
                  <c:v>41.613333333333415</c:v>
                </c:pt>
                <c:pt idx="1205">
                  <c:v>41.320000000000078</c:v>
                </c:pt>
                <c:pt idx="1206">
                  <c:v>41.026666666666742</c:v>
                </c:pt>
                <c:pt idx="1207">
                  <c:v>40.733333333333405</c:v>
                </c:pt>
                <c:pt idx="1208">
                  <c:v>40.440000000000069</c:v>
                </c:pt>
                <c:pt idx="1209">
                  <c:v>40.146666666666732</c:v>
                </c:pt>
                <c:pt idx="1210">
                  <c:v>39.853333333333396</c:v>
                </c:pt>
                <c:pt idx="1211">
                  <c:v>39.560000000000059</c:v>
                </c:pt>
                <c:pt idx="1212">
                  <c:v>39.266666666666723</c:v>
                </c:pt>
                <c:pt idx="1213">
                  <c:v>38.973333333333386</c:v>
                </c:pt>
                <c:pt idx="1214">
                  <c:v>38.680000000000049</c:v>
                </c:pt>
                <c:pt idx="1215">
                  <c:v>38.386666666666713</c:v>
                </c:pt>
                <c:pt idx="1216">
                  <c:v>38.093333333333376</c:v>
                </c:pt>
                <c:pt idx="1217">
                  <c:v>37.80000000000004</c:v>
                </c:pt>
                <c:pt idx="1218">
                  <c:v>37.506666666666703</c:v>
                </c:pt>
                <c:pt idx="1219">
                  <c:v>37.213333333333367</c:v>
                </c:pt>
                <c:pt idx="1220">
                  <c:v>36.92000000000003</c:v>
                </c:pt>
                <c:pt idx="1221">
                  <c:v>36.626666666666694</c:v>
                </c:pt>
                <c:pt idx="1222">
                  <c:v>36.333333333333357</c:v>
                </c:pt>
                <c:pt idx="1223">
                  <c:v>36.04000000000002</c:v>
                </c:pt>
                <c:pt idx="1224">
                  <c:v>35.746666666666684</c:v>
                </c:pt>
                <c:pt idx="1225">
                  <c:v>35.453333333333347</c:v>
                </c:pt>
                <c:pt idx="1226">
                  <c:v>35.160000000000011</c:v>
                </c:pt>
                <c:pt idx="1227">
                  <c:v>35.160000000000011</c:v>
                </c:pt>
                <c:pt idx="1228">
                  <c:v>35.160000000000011</c:v>
                </c:pt>
                <c:pt idx="1229">
                  <c:v>35.160000000000011</c:v>
                </c:pt>
                <c:pt idx="1230">
                  <c:v>35.160000000000011</c:v>
                </c:pt>
                <c:pt idx="1231">
                  <c:v>35.160000000000011</c:v>
                </c:pt>
                <c:pt idx="1232">
                  <c:v>35.160000000000011</c:v>
                </c:pt>
                <c:pt idx="1233">
                  <c:v>35.160000000000011</c:v>
                </c:pt>
                <c:pt idx="1234">
                  <c:v>35.160000000000011</c:v>
                </c:pt>
                <c:pt idx="1235">
                  <c:v>35.160000000000011</c:v>
                </c:pt>
                <c:pt idx="1236">
                  <c:v>35.160000000000011</c:v>
                </c:pt>
                <c:pt idx="1237">
                  <c:v>35.160000000000011</c:v>
                </c:pt>
                <c:pt idx="1238">
                  <c:v>35.160000000000011</c:v>
                </c:pt>
                <c:pt idx="1239">
                  <c:v>35.160000000000011</c:v>
                </c:pt>
                <c:pt idx="1240">
                  <c:v>35.160000000000011</c:v>
                </c:pt>
                <c:pt idx="1241">
                  <c:v>35.160000000000011</c:v>
                </c:pt>
                <c:pt idx="1242">
                  <c:v>35.160000000000011</c:v>
                </c:pt>
                <c:pt idx="1243">
                  <c:v>35.160000000000011</c:v>
                </c:pt>
                <c:pt idx="1244">
                  <c:v>35.160000000000011</c:v>
                </c:pt>
                <c:pt idx="1245">
                  <c:v>35.160000000000011</c:v>
                </c:pt>
                <c:pt idx="1246">
                  <c:v>35.160000000000011</c:v>
                </c:pt>
                <c:pt idx="1247">
                  <c:v>35.160000000000011</c:v>
                </c:pt>
                <c:pt idx="1248">
                  <c:v>35.160000000000011</c:v>
                </c:pt>
                <c:pt idx="1249">
                  <c:v>35.160000000000011</c:v>
                </c:pt>
                <c:pt idx="1250">
                  <c:v>35.160000000000011</c:v>
                </c:pt>
                <c:pt idx="1251">
                  <c:v>35.160000000000011</c:v>
                </c:pt>
                <c:pt idx="1252">
                  <c:v>35.160000000000011</c:v>
                </c:pt>
                <c:pt idx="1253">
                  <c:v>35.160000000000011</c:v>
                </c:pt>
                <c:pt idx="1254">
                  <c:v>35.160000000000011</c:v>
                </c:pt>
                <c:pt idx="1255">
                  <c:v>35.160000000000011</c:v>
                </c:pt>
                <c:pt idx="1256">
                  <c:v>35.160000000000011</c:v>
                </c:pt>
                <c:pt idx="1257">
                  <c:v>35.160000000000011</c:v>
                </c:pt>
                <c:pt idx="1258">
                  <c:v>35.160000000000011</c:v>
                </c:pt>
                <c:pt idx="1259">
                  <c:v>35.160000000000011</c:v>
                </c:pt>
                <c:pt idx="1260">
                  <c:v>35.160000000000011</c:v>
                </c:pt>
                <c:pt idx="1261">
                  <c:v>35.160000000000011</c:v>
                </c:pt>
                <c:pt idx="1262">
                  <c:v>35.160000000000011</c:v>
                </c:pt>
                <c:pt idx="1263">
                  <c:v>35.160000000000011</c:v>
                </c:pt>
                <c:pt idx="1264">
                  <c:v>35.160000000000011</c:v>
                </c:pt>
                <c:pt idx="1265">
                  <c:v>35.160000000000011</c:v>
                </c:pt>
                <c:pt idx="1266">
                  <c:v>35.160000000000011</c:v>
                </c:pt>
                <c:pt idx="1267">
                  <c:v>35.160000000000011</c:v>
                </c:pt>
                <c:pt idx="1268">
                  <c:v>35.160000000000011</c:v>
                </c:pt>
                <c:pt idx="1269">
                  <c:v>35.160000000000011</c:v>
                </c:pt>
                <c:pt idx="1270">
                  <c:v>35.160000000000011</c:v>
                </c:pt>
                <c:pt idx="1271">
                  <c:v>35.160000000000011</c:v>
                </c:pt>
                <c:pt idx="1272">
                  <c:v>35.160000000000011</c:v>
                </c:pt>
                <c:pt idx="1273">
                  <c:v>35.160000000000011</c:v>
                </c:pt>
                <c:pt idx="1274">
                  <c:v>35.160000000000011</c:v>
                </c:pt>
                <c:pt idx="1275">
                  <c:v>35.160000000000011</c:v>
                </c:pt>
                <c:pt idx="1276">
                  <c:v>35.160000000000011</c:v>
                </c:pt>
                <c:pt idx="1277">
                  <c:v>36.120000000000012</c:v>
                </c:pt>
                <c:pt idx="1278">
                  <c:v>37.080000000000013</c:v>
                </c:pt>
                <c:pt idx="1279">
                  <c:v>38.040000000000013</c:v>
                </c:pt>
                <c:pt idx="1280">
                  <c:v>39.000000000000014</c:v>
                </c:pt>
                <c:pt idx="1281">
                  <c:v>39.960000000000015</c:v>
                </c:pt>
                <c:pt idx="1282">
                  <c:v>40.920000000000016</c:v>
                </c:pt>
                <c:pt idx="1283">
                  <c:v>41.880000000000017</c:v>
                </c:pt>
                <c:pt idx="1284">
                  <c:v>42.840000000000018</c:v>
                </c:pt>
                <c:pt idx="1285">
                  <c:v>43.800000000000018</c:v>
                </c:pt>
                <c:pt idx="1286">
                  <c:v>44.760000000000019</c:v>
                </c:pt>
                <c:pt idx="1287">
                  <c:v>45.72000000000002</c:v>
                </c:pt>
                <c:pt idx="1288">
                  <c:v>46.680000000000021</c:v>
                </c:pt>
                <c:pt idx="1289">
                  <c:v>47.640000000000022</c:v>
                </c:pt>
                <c:pt idx="1290">
                  <c:v>48.600000000000023</c:v>
                </c:pt>
                <c:pt idx="1291">
                  <c:v>49.560000000000024</c:v>
                </c:pt>
                <c:pt idx="1292">
                  <c:v>50.520000000000024</c:v>
                </c:pt>
                <c:pt idx="1293">
                  <c:v>51.480000000000025</c:v>
                </c:pt>
                <c:pt idx="1294">
                  <c:v>52.440000000000026</c:v>
                </c:pt>
                <c:pt idx="1295">
                  <c:v>53.400000000000027</c:v>
                </c:pt>
                <c:pt idx="1296">
                  <c:v>54.360000000000028</c:v>
                </c:pt>
                <c:pt idx="1297">
                  <c:v>55.320000000000029</c:v>
                </c:pt>
                <c:pt idx="1298">
                  <c:v>56.28000000000003</c:v>
                </c:pt>
                <c:pt idx="1299">
                  <c:v>57.24000000000003</c:v>
                </c:pt>
                <c:pt idx="1300">
                  <c:v>58.200000000000031</c:v>
                </c:pt>
                <c:pt idx="1301">
                  <c:v>59.160000000000032</c:v>
                </c:pt>
                <c:pt idx="1302">
                  <c:v>60.120000000000033</c:v>
                </c:pt>
                <c:pt idx="1303">
                  <c:v>61.080000000000034</c:v>
                </c:pt>
                <c:pt idx="1304">
                  <c:v>62.040000000000035</c:v>
                </c:pt>
                <c:pt idx="1305">
                  <c:v>63.000000000000036</c:v>
                </c:pt>
                <c:pt idx="1306">
                  <c:v>63.960000000000036</c:v>
                </c:pt>
                <c:pt idx="1307">
                  <c:v>64.92000000000003</c:v>
                </c:pt>
                <c:pt idx="1308">
                  <c:v>65.880000000000024</c:v>
                </c:pt>
                <c:pt idx="1309">
                  <c:v>66.840000000000018</c:v>
                </c:pt>
                <c:pt idx="1310">
                  <c:v>67.800000000000011</c:v>
                </c:pt>
                <c:pt idx="1311">
                  <c:v>68.760000000000005</c:v>
                </c:pt>
                <c:pt idx="1312">
                  <c:v>69.72</c:v>
                </c:pt>
                <c:pt idx="1313">
                  <c:v>70.679999999999993</c:v>
                </c:pt>
                <c:pt idx="1314">
                  <c:v>71.639999999999986</c:v>
                </c:pt>
                <c:pt idx="1315">
                  <c:v>72.59999999999998</c:v>
                </c:pt>
                <c:pt idx="1316">
                  <c:v>73.559999999999974</c:v>
                </c:pt>
                <c:pt idx="1317">
                  <c:v>74.519999999999968</c:v>
                </c:pt>
                <c:pt idx="1318">
                  <c:v>75.479999999999961</c:v>
                </c:pt>
                <c:pt idx="1319">
                  <c:v>76.439999999999955</c:v>
                </c:pt>
                <c:pt idx="1320">
                  <c:v>77.399999999999949</c:v>
                </c:pt>
                <c:pt idx="1321">
                  <c:v>78.359999999999943</c:v>
                </c:pt>
                <c:pt idx="1322">
                  <c:v>79.319999999999936</c:v>
                </c:pt>
                <c:pt idx="1323">
                  <c:v>80.27999999999993</c:v>
                </c:pt>
                <c:pt idx="1324">
                  <c:v>81.239999999999924</c:v>
                </c:pt>
                <c:pt idx="1325">
                  <c:v>82.199999999999918</c:v>
                </c:pt>
                <c:pt idx="1326">
                  <c:v>83.159999999999911</c:v>
                </c:pt>
                <c:pt idx="1327">
                  <c:v>84.119999999999905</c:v>
                </c:pt>
                <c:pt idx="1328">
                  <c:v>85.079999999999899</c:v>
                </c:pt>
                <c:pt idx="1329">
                  <c:v>86.039999999999893</c:v>
                </c:pt>
                <c:pt idx="1330">
                  <c:v>86.999999999999886</c:v>
                </c:pt>
                <c:pt idx="1331">
                  <c:v>87.95999999999988</c:v>
                </c:pt>
                <c:pt idx="1332">
                  <c:v>88.919999999999874</c:v>
                </c:pt>
                <c:pt idx="1333">
                  <c:v>89.879999999999868</c:v>
                </c:pt>
                <c:pt idx="1334">
                  <c:v>90.839999999999861</c:v>
                </c:pt>
                <c:pt idx="1335">
                  <c:v>91.799999999999855</c:v>
                </c:pt>
                <c:pt idx="1336">
                  <c:v>92.759999999999849</c:v>
                </c:pt>
                <c:pt idx="1337">
                  <c:v>93.719999999999843</c:v>
                </c:pt>
                <c:pt idx="1338">
                  <c:v>94.679999999999836</c:v>
                </c:pt>
                <c:pt idx="1339">
                  <c:v>95.63999999999983</c:v>
                </c:pt>
                <c:pt idx="1340">
                  <c:v>96.599999999999824</c:v>
                </c:pt>
                <c:pt idx="1341">
                  <c:v>97.559999999999818</c:v>
                </c:pt>
                <c:pt idx="1342">
                  <c:v>98.519999999999811</c:v>
                </c:pt>
                <c:pt idx="1343">
                  <c:v>99.479999999999805</c:v>
                </c:pt>
                <c:pt idx="1344">
                  <c:v>100.4399999999998</c:v>
                </c:pt>
                <c:pt idx="1345">
                  <c:v>101.39999999999979</c:v>
                </c:pt>
                <c:pt idx="1346">
                  <c:v>102.35999999999979</c:v>
                </c:pt>
                <c:pt idx="1347">
                  <c:v>103.31999999999978</c:v>
                </c:pt>
                <c:pt idx="1348">
                  <c:v>104.27999999999977</c:v>
                </c:pt>
                <c:pt idx="1349">
                  <c:v>105.23999999999977</c:v>
                </c:pt>
                <c:pt idx="1350">
                  <c:v>106.19999999999976</c:v>
                </c:pt>
                <c:pt idx="1351">
                  <c:v>107.15999999999976</c:v>
                </c:pt>
                <c:pt idx="1352">
                  <c:v>107.15999999999976</c:v>
                </c:pt>
                <c:pt idx="1353">
                  <c:v>107.15999999999976</c:v>
                </c:pt>
                <c:pt idx="1354">
                  <c:v>107.15999999999976</c:v>
                </c:pt>
                <c:pt idx="1355">
                  <c:v>107.15999999999976</c:v>
                </c:pt>
                <c:pt idx="1356">
                  <c:v>107.15999999999976</c:v>
                </c:pt>
                <c:pt idx="1357">
                  <c:v>107.15999999999976</c:v>
                </c:pt>
                <c:pt idx="1358">
                  <c:v>107.15999999999976</c:v>
                </c:pt>
                <c:pt idx="1359">
                  <c:v>107.15999999999976</c:v>
                </c:pt>
                <c:pt idx="1360">
                  <c:v>107.15999999999976</c:v>
                </c:pt>
                <c:pt idx="1361">
                  <c:v>107.15999999999976</c:v>
                </c:pt>
                <c:pt idx="1362">
                  <c:v>107.15999999999976</c:v>
                </c:pt>
                <c:pt idx="1363">
                  <c:v>107.15999999999976</c:v>
                </c:pt>
                <c:pt idx="1364">
                  <c:v>107.15999999999976</c:v>
                </c:pt>
                <c:pt idx="1365">
                  <c:v>107.15999999999976</c:v>
                </c:pt>
                <c:pt idx="1366">
                  <c:v>107.15999999999976</c:v>
                </c:pt>
                <c:pt idx="1367">
                  <c:v>107.15999999999976</c:v>
                </c:pt>
                <c:pt idx="1368">
                  <c:v>107.15999999999976</c:v>
                </c:pt>
                <c:pt idx="1369">
                  <c:v>107.15999999999976</c:v>
                </c:pt>
                <c:pt idx="1370">
                  <c:v>107.15999999999976</c:v>
                </c:pt>
                <c:pt idx="1371">
                  <c:v>107.15999999999976</c:v>
                </c:pt>
                <c:pt idx="1372">
                  <c:v>107.15999999999976</c:v>
                </c:pt>
                <c:pt idx="1373">
                  <c:v>107.15999999999976</c:v>
                </c:pt>
                <c:pt idx="1374">
                  <c:v>107.15999999999976</c:v>
                </c:pt>
                <c:pt idx="1375">
                  <c:v>107.15999999999976</c:v>
                </c:pt>
                <c:pt idx="1376">
                  <c:v>107.15999999999976</c:v>
                </c:pt>
                <c:pt idx="1377">
                  <c:v>106.19999999999976</c:v>
                </c:pt>
                <c:pt idx="1378">
                  <c:v>105.23999999999977</c:v>
                </c:pt>
                <c:pt idx="1379">
                  <c:v>104.27999999999977</c:v>
                </c:pt>
                <c:pt idx="1380">
                  <c:v>103.31999999999978</c:v>
                </c:pt>
                <c:pt idx="1381">
                  <c:v>102.35999999999979</c:v>
                </c:pt>
                <c:pt idx="1382">
                  <c:v>101.39999999999979</c:v>
                </c:pt>
                <c:pt idx="1383">
                  <c:v>100.4399999999998</c:v>
                </c:pt>
                <c:pt idx="1384">
                  <c:v>99.479999999999805</c:v>
                </c:pt>
                <c:pt idx="1385">
                  <c:v>98.519999999999811</c:v>
                </c:pt>
                <c:pt idx="1386">
                  <c:v>97.559999999999818</c:v>
                </c:pt>
                <c:pt idx="1387">
                  <c:v>96.599999999999824</c:v>
                </c:pt>
                <c:pt idx="1388">
                  <c:v>95.63999999999983</c:v>
                </c:pt>
                <c:pt idx="1389">
                  <c:v>94.679999999999836</c:v>
                </c:pt>
                <c:pt idx="1390">
                  <c:v>93.719999999999843</c:v>
                </c:pt>
                <c:pt idx="1391">
                  <c:v>92.759999999999849</c:v>
                </c:pt>
                <c:pt idx="1392">
                  <c:v>91.799999999999855</c:v>
                </c:pt>
                <c:pt idx="1393">
                  <c:v>90.839999999999861</c:v>
                </c:pt>
                <c:pt idx="1394">
                  <c:v>89.879999999999868</c:v>
                </c:pt>
                <c:pt idx="1395">
                  <c:v>88.919999999999874</c:v>
                </c:pt>
                <c:pt idx="1396">
                  <c:v>87.95999999999988</c:v>
                </c:pt>
                <c:pt idx="1397">
                  <c:v>86.999999999999886</c:v>
                </c:pt>
                <c:pt idx="1398">
                  <c:v>86.039999999999893</c:v>
                </c:pt>
                <c:pt idx="1399">
                  <c:v>85.079999999999899</c:v>
                </c:pt>
                <c:pt idx="1400">
                  <c:v>84.119999999999905</c:v>
                </c:pt>
                <c:pt idx="1401">
                  <c:v>83.159999999999911</c:v>
                </c:pt>
                <c:pt idx="1402">
                  <c:v>82.199999999999918</c:v>
                </c:pt>
                <c:pt idx="1403">
                  <c:v>81.239999999999924</c:v>
                </c:pt>
                <c:pt idx="1404">
                  <c:v>80.27999999999993</c:v>
                </c:pt>
                <c:pt idx="1405">
                  <c:v>79.319999999999936</c:v>
                </c:pt>
                <c:pt idx="1406">
                  <c:v>78.359999999999943</c:v>
                </c:pt>
                <c:pt idx="1407">
                  <c:v>77.399999999999949</c:v>
                </c:pt>
                <c:pt idx="1408">
                  <c:v>76.439999999999955</c:v>
                </c:pt>
                <c:pt idx="1409">
                  <c:v>75.479999999999961</c:v>
                </c:pt>
                <c:pt idx="1410">
                  <c:v>74.519999999999968</c:v>
                </c:pt>
                <c:pt idx="1411">
                  <c:v>73.559999999999974</c:v>
                </c:pt>
                <c:pt idx="1412">
                  <c:v>72.59999999999998</c:v>
                </c:pt>
                <c:pt idx="1413">
                  <c:v>71.639999999999986</c:v>
                </c:pt>
                <c:pt idx="1414">
                  <c:v>70.679999999999993</c:v>
                </c:pt>
                <c:pt idx="1415">
                  <c:v>69.72</c:v>
                </c:pt>
                <c:pt idx="1416">
                  <c:v>68.760000000000005</c:v>
                </c:pt>
                <c:pt idx="1417">
                  <c:v>67.800000000000011</c:v>
                </c:pt>
                <c:pt idx="1418">
                  <c:v>66.840000000000018</c:v>
                </c:pt>
                <c:pt idx="1419">
                  <c:v>65.880000000000024</c:v>
                </c:pt>
                <c:pt idx="1420">
                  <c:v>64.92000000000003</c:v>
                </c:pt>
                <c:pt idx="1421">
                  <c:v>63.960000000000029</c:v>
                </c:pt>
                <c:pt idx="1422">
                  <c:v>63.000000000000028</c:v>
                </c:pt>
                <c:pt idx="1423">
                  <c:v>62.040000000000028</c:v>
                </c:pt>
                <c:pt idx="1424">
                  <c:v>61.080000000000027</c:v>
                </c:pt>
                <c:pt idx="1425">
                  <c:v>60.120000000000026</c:v>
                </c:pt>
                <c:pt idx="1426">
                  <c:v>59.160000000000025</c:v>
                </c:pt>
                <c:pt idx="1427">
                  <c:v>58.200000000000024</c:v>
                </c:pt>
                <c:pt idx="1428">
                  <c:v>57.240000000000023</c:v>
                </c:pt>
                <c:pt idx="1429">
                  <c:v>56.280000000000022</c:v>
                </c:pt>
                <c:pt idx="1430">
                  <c:v>55.320000000000022</c:v>
                </c:pt>
                <c:pt idx="1431">
                  <c:v>54.360000000000021</c:v>
                </c:pt>
                <c:pt idx="1432">
                  <c:v>53.40000000000002</c:v>
                </c:pt>
                <c:pt idx="1433">
                  <c:v>52.440000000000019</c:v>
                </c:pt>
                <c:pt idx="1434">
                  <c:v>51.480000000000018</c:v>
                </c:pt>
                <c:pt idx="1435">
                  <c:v>50.520000000000017</c:v>
                </c:pt>
                <c:pt idx="1436">
                  <c:v>49.560000000000016</c:v>
                </c:pt>
                <c:pt idx="1437">
                  <c:v>48.600000000000016</c:v>
                </c:pt>
                <c:pt idx="1438">
                  <c:v>47.640000000000015</c:v>
                </c:pt>
                <c:pt idx="1439">
                  <c:v>46.680000000000014</c:v>
                </c:pt>
                <c:pt idx="1440">
                  <c:v>45.720000000000013</c:v>
                </c:pt>
                <c:pt idx="1441">
                  <c:v>44.760000000000012</c:v>
                </c:pt>
                <c:pt idx="1442">
                  <c:v>43.800000000000011</c:v>
                </c:pt>
                <c:pt idx="1443">
                  <c:v>42.840000000000011</c:v>
                </c:pt>
                <c:pt idx="1444">
                  <c:v>41.88000000000001</c:v>
                </c:pt>
                <c:pt idx="1445">
                  <c:v>40.920000000000009</c:v>
                </c:pt>
                <c:pt idx="1446">
                  <c:v>39.960000000000008</c:v>
                </c:pt>
                <c:pt idx="1447">
                  <c:v>39.000000000000007</c:v>
                </c:pt>
                <c:pt idx="1448">
                  <c:v>38.040000000000006</c:v>
                </c:pt>
                <c:pt idx="1449">
                  <c:v>37.080000000000005</c:v>
                </c:pt>
                <c:pt idx="1450">
                  <c:v>36.120000000000005</c:v>
                </c:pt>
                <c:pt idx="1451">
                  <c:v>35.160000000000004</c:v>
                </c:pt>
                <c:pt idx="1452">
                  <c:v>35.160000000000004</c:v>
                </c:pt>
                <c:pt idx="1453">
                  <c:v>35.160000000000004</c:v>
                </c:pt>
                <c:pt idx="1454">
                  <c:v>35.160000000000004</c:v>
                </c:pt>
                <c:pt idx="1455">
                  <c:v>35.160000000000004</c:v>
                </c:pt>
                <c:pt idx="1456">
                  <c:v>35.160000000000004</c:v>
                </c:pt>
                <c:pt idx="1457">
                  <c:v>35.160000000000004</c:v>
                </c:pt>
                <c:pt idx="1458">
                  <c:v>35.160000000000004</c:v>
                </c:pt>
                <c:pt idx="1459">
                  <c:v>35.160000000000004</c:v>
                </c:pt>
                <c:pt idx="1460">
                  <c:v>35.160000000000004</c:v>
                </c:pt>
                <c:pt idx="1461">
                  <c:v>35.160000000000004</c:v>
                </c:pt>
                <c:pt idx="1462">
                  <c:v>35.160000000000004</c:v>
                </c:pt>
                <c:pt idx="1463">
                  <c:v>35.160000000000004</c:v>
                </c:pt>
                <c:pt idx="1464">
                  <c:v>35.160000000000004</c:v>
                </c:pt>
                <c:pt idx="1465">
                  <c:v>35.160000000000004</c:v>
                </c:pt>
                <c:pt idx="1466">
                  <c:v>35.160000000000004</c:v>
                </c:pt>
                <c:pt idx="1467">
                  <c:v>35.160000000000004</c:v>
                </c:pt>
                <c:pt idx="1468">
                  <c:v>35.160000000000004</c:v>
                </c:pt>
                <c:pt idx="1469">
                  <c:v>35.160000000000004</c:v>
                </c:pt>
                <c:pt idx="1470">
                  <c:v>35.160000000000004</c:v>
                </c:pt>
                <c:pt idx="1471">
                  <c:v>35.160000000000004</c:v>
                </c:pt>
                <c:pt idx="1472">
                  <c:v>35.160000000000004</c:v>
                </c:pt>
                <c:pt idx="1473">
                  <c:v>35.160000000000004</c:v>
                </c:pt>
                <c:pt idx="1474">
                  <c:v>35.160000000000004</c:v>
                </c:pt>
                <c:pt idx="1475">
                  <c:v>35.160000000000004</c:v>
                </c:pt>
                <c:pt idx="1476">
                  <c:v>35.160000000000004</c:v>
                </c:pt>
                <c:pt idx="1477">
                  <c:v>35.160000000000004</c:v>
                </c:pt>
                <c:pt idx="1478">
                  <c:v>35.160000000000004</c:v>
                </c:pt>
                <c:pt idx="1479">
                  <c:v>35.160000000000004</c:v>
                </c:pt>
                <c:pt idx="1480">
                  <c:v>35.160000000000004</c:v>
                </c:pt>
                <c:pt idx="1481">
                  <c:v>35.160000000000004</c:v>
                </c:pt>
                <c:pt idx="1482">
                  <c:v>35.160000000000004</c:v>
                </c:pt>
                <c:pt idx="1483">
                  <c:v>35.160000000000004</c:v>
                </c:pt>
                <c:pt idx="1484">
                  <c:v>35.160000000000004</c:v>
                </c:pt>
                <c:pt idx="1485">
                  <c:v>35.160000000000004</c:v>
                </c:pt>
                <c:pt idx="1486">
                  <c:v>35.160000000000004</c:v>
                </c:pt>
                <c:pt idx="1487">
                  <c:v>35.160000000000004</c:v>
                </c:pt>
                <c:pt idx="1488">
                  <c:v>35.160000000000004</c:v>
                </c:pt>
                <c:pt idx="1489">
                  <c:v>35.160000000000004</c:v>
                </c:pt>
                <c:pt idx="1490">
                  <c:v>35.160000000000004</c:v>
                </c:pt>
                <c:pt idx="1491">
                  <c:v>35.160000000000004</c:v>
                </c:pt>
                <c:pt idx="1492">
                  <c:v>35.160000000000004</c:v>
                </c:pt>
                <c:pt idx="1493">
                  <c:v>35.160000000000004</c:v>
                </c:pt>
                <c:pt idx="1494">
                  <c:v>35.160000000000004</c:v>
                </c:pt>
                <c:pt idx="1495">
                  <c:v>35.160000000000004</c:v>
                </c:pt>
                <c:pt idx="1496">
                  <c:v>35.160000000000004</c:v>
                </c:pt>
                <c:pt idx="1497">
                  <c:v>35.160000000000004</c:v>
                </c:pt>
                <c:pt idx="1498">
                  <c:v>35.160000000000004</c:v>
                </c:pt>
                <c:pt idx="1499">
                  <c:v>35.160000000000004</c:v>
                </c:pt>
                <c:pt idx="1500">
                  <c:v>35.160000000000004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4B-426A-9FE7-31E846C0D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918255"/>
        <c:axId val="398391487"/>
      </c:scatterChart>
      <c:valAx>
        <c:axId val="43691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391487"/>
        <c:crosses val="autoZero"/>
        <c:crossBetween val="midCat"/>
      </c:valAx>
      <c:valAx>
        <c:axId val="39839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918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228600</xdr:colOff>
      <xdr:row>4</xdr:row>
      <xdr:rowOff>129540</xdr:rowOff>
    </xdr:from>
    <xdr:to>
      <xdr:col>19</xdr:col>
      <xdr:colOff>533400</xdr:colOff>
      <xdr:row>19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E828BA-CA17-4D6A-A067-58C628744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525780</xdr:colOff>
      <xdr:row>30</xdr:row>
      <xdr:rowOff>152400</xdr:rowOff>
    </xdr:from>
    <xdr:to>
      <xdr:col>17</xdr:col>
      <xdr:colOff>220980</xdr:colOff>
      <xdr:row>45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318A92-8DAF-4C47-A317-AD2D570CAF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476250</xdr:colOff>
      <xdr:row>32</xdr:row>
      <xdr:rowOff>176212</xdr:rowOff>
    </xdr:from>
    <xdr:to>
      <xdr:col>25</xdr:col>
      <xdr:colOff>171450</xdr:colOff>
      <xdr:row>47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6835F7-B983-30D2-9BCC-3961A0E7E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457200</xdr:colOff>
      <xdr:row>47</xdr:row>
      <xdr:rowOff>166687</xdr:rowOff>
    </xdr:from>
    <xdr:to>
      <xdr:col>25</xdr:col>
      <xdr:colOff>152400</xdr:colOff>
      <xdr:row>62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BBFD9B-E8FD-A33D-1738-094F82C988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495300</xdr:colOff>
      <xdr:row>8</xdr:row>
      <xdr:rowOff>33020</xdr:rowOff>
    </xdr:from>
    <xdr:to>
      <xdr:col>20</xdr:col>
      <xdr:colOff>189230</xdr:colOff>
      <xdr:row>23</xdr:row>
      <xdr:rowOff>33020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D086F1-9232-41AB-8EBB-A25239037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lope@x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C2F0-1EB2-4881-8D64-3D8143E945FC}">
  <dimension ref="A1:O71"/>
  <sheetViews>
    <sheetView tabSelected="1" topLeftCell="A28" workbookViewId="0">
      <selection activeCell="W31" sqref="W31"/>
    </sheetView>
  </sheetViews>
  <sheetFormatPr defaultRowHeight="15" x14ac:dyDescent="0.25"/>
  <cols>
    <col min="3" max="3" width="16.85546875" bestFit="1" customWidth="1"/>
    <col min="4" max="4" width="14.140625" bestFit="1" customWidth="1"/>
    <col min="5" max="5" width="9.7109375" bestFit="1" customWidth="1"/>
    <col min="6" max="6" width="15.85546875" bestFit="1" customWidth="1"/>
    <col min="13" max="13" width="11.28515625" bestFit="1" customWidth="1"/>
    <col min="14" max="14" width="9.5703125" bestFit="1" customWidth="1"/>
  </cols>
  <sheetData>
    <row r="1" spans="1:10" hidden="1" x14ac:dyDescent="0.25"/>
    <row r="2" spans="1:10" hidden="1" x14ac:dyDescent="0.25">
      <c r="B2" t="s">
        <v>0</v>
      </c>
      <c r="C2" t="s">
        <v>6</v>
      </c>
      <c r="D2" t="s">
        <v>7</v>
      </c>
      <c r="E2" t="s">
        <v>5</v>
      </c>
      <c r="F2" t="s">
        <v>16</v>
      </c>
      <c r="G2" t="s">
        <v>2</v>
      </c>
      <c r="J2" t="s">
        <v>8</v>
      </c>
    </row>
    <row r="3" spans="1:10" hidden="1" x14ac:dyDescent="0.25">
      <c r="B3">
        <v>0</v>
      </c>
      <c r="C3" s="3">
        <f t="shared" ref="C3:C14" si="0">IF(B3&lt;$D$19,$D$18,$D$18+(B3-$D$19)*($D$17-$D$18)/(100-$D$19))</f>
        <v>1000</v>
      </c>
      <c r="D3" s="3">
        <f t="shared" ref="D3:D14" si="1">IF(B3&lt;$D$19,$D$20,$D$20+(B3-$D$19)*($D$21-$D$20)/(100-$D$19))</f>
        <v>1000</v>
      </c>
      <c r="E3" s="3">
        <f t="shared" ref="E3:E14" si="2">IF(B3&gt;=$D$19,D3*15/16,B3*($D$20/$D$19))</f>
        <v>0</v>
      </c>
      <c r="F3" s="3">
        <f>E3*16/15</f>
        <v>0</v>
      </c>
      <c r="G3" t="s">
        <v>3</v>
      </c>
      <c r="J3" s="2">
        <f t="shared" ref="J3:J14" si="3">(E3*16/42)*(2*PI()/60)*(8*25.4/1000)*(3600/1000)</f>
        <v>0</v>
      </c>
    </row>
    <row r="4" spans="1:10" hidden="1" x14ac:dyDescent="0.25">
      <c r="B4">
        <v>10</v>
      </c>
      <c r="C4" s="3">
        <f t="shared" si="0"/>
        <v>1000</v>
      </c>
      <c r="D4" s="3">
        <f t="shared" si="1"/>
        <v>1000</v>
      </c>
      <c r="E4" s="3">
        <f t="shared" si="2"/>
        <v>333.33333333333337</v>
      </c>
      <c r="F4" s="3">
        <f t="shared" ref="F4:F14" si="4">E4*16/15</f>
        <v>355.5555555555556</v>
      </c>
      <c r="G4" t="s">
        <v>3</v>
      </c>
      <c r="J4" s="2">
        <f t="shared" si="3"/>
        <v>9.7275676527153685</v>
      </c>
    </row>
    <row r="5" spans="1:10" hidden="1" x14ac:dyDescent="0.25">
      <c r="B5">
        <v>20</v>
      </c>
      <c r="C5" s="3">
        <f t="shared" si="0"/>
        <v>1000</v>
      </c>
      <c r="D5" s="3">
        <f t="shared" si="1"/>
        <v>1000</v>
      </c>
      <c r="E5" s="3">
        <f t="shared" si="2"/>
        <v>666.66666666666674</v>
      </c>
      <c r="F5" s="3">
        <f t="shared" si="4"/>
        <v>711.1111111111112</v>
      </c>
      <c r="G5" t="s">
        <v>3</v>
      </c>
      <c r="J5" s="2">
        <f t="shared" si="3"/>
        <v>19.455135305430737</v>
      </c>
    </row>
    <row r="6" spans="1:10" hidden="1" x14ac:dyDescent="0.25">
      <c r="A6" t="s">
        <v>1</v>
      </c>
      <c r="B6">
        <f>D19</f>
        <v>30</v>
      </c>
      <c r="C6" s="3">
        <f t="shared" si="0"/>
        <v>1000</v>
      </c>
      <c r="D6" s="3">
        <f t="shared" si="1"/>
        <v>1000</v>
      </c>
      <c r="E6" s="3">
        <f t="shared" si="2"/>
        <v>937.5</v>
      </c>
      <c r="F6" s="3">
        <f t="shared" si="4"/>
        <v>1000</v>
      </c>
      <c r="G6" t="s">
        <v>4</v>
      </c>
      <c r="J6" s="2">
        <f t="shared" si="3"/>
        <v>27.358784023261972</v>
      </c>
    </row>
    <row r="7" spans="1:10" hidden="1" x14ac:dyDescent="0.25">
      <c r="B7">
        <v>30</v>
      </c>
      <c r="C7" s="3">
        <f t="shared" si="0"/>
        <v>1000</v>
      </c>
      <c r="D7" s="3">
        <f t="shared" si="1"/>
        <v>1000</v>
      </c>
      <c r="E7" s="3">
        <f t="shared" si="2"/>
        <v>937.5</v>
      </c>
      <c r="F7" s="3">
        <f t="shared" si="4"/>
        <v>1000</v>
      </c>
      <c r="G7" t="s">
        <v>4</v>
      </c>
      <c r="J7" s="2">
        <f t="shared" si="3"/>
        <v>27.358784023261972</v>
      </c>
    </row>
    <row r="8" spans="1:10" hidden="1" x14ac:dyDescent="0.25">
      <c r="B8">
        <v>40</v>
      </c>
      <c r="C8" s="3">
        <f t="shared" si="0"/>
        <v>1285.7142857142858</v>
      </c>
      <c r="D8" s="3">
        <f t="shared" si="1"/>
        <v>1214.2857142857142</v>
      </c>
      <c r="E8" s="3">
        <f t="shared" si="2"/>
        <v>1138.3928571428571</v>
      </c>
      <c r="F8" s="3">
        <f t="shared" si="4"/>
        <v>1214.2857142857142</v>
      </c>
      <c r="G8" t="s">
        <v>4</v>
      </c>
      <c r="J8" s="2">
        <f t="shared" si="3"/>
        <v>33.221380599675243</v>
      </c>
    </row>
    <row r="9" spans="1:10" hidden="1" x14ac:dyDescent="0.25">
      <c r="B9">
        <v>50</v>
      </c>
      <c r="C9" s="3">
        <f t="shared" si="0"/>
        <v>1571.4285714285716</v>
      </c>
      <c r="D9" s="3">
        <f t="shared" si="1"/>
        <v>1428.5714285714284</v>
      </c>
      <c r="E9" s="3">
        <f t="shared" si="2"/>
        <v>1339.2857142857142</v>
      </c>
      <c r="F9" s="3">
        <f t="shared" si="4"/>
        <v>1428.5714285714284</v>
      </c>
      <c r="G9" t="s">
        <v>4</v>
      </c>
      <c r="J9" s="2">
        <f t="shared" si="3"/>
        <v>39.083977176088517</v>
      </c>
    </row>
    <row r="10" spans="1:10" hidden="1" x14ac:dyDescent="0.25">
      <c r="B10">
        <v>60</v>
      </c>
      <c r="C10" s="3">
        <f t="shared" si="0"/>
        <v>1857.1428571428571</v>
      </c>
      <c r="D10" s="3">
        <f t="shared" si="1"/>
        <v>1642.8571428571429</v>
      </c>
      <c r="E10" s="3">
        <f t="shared" si="2"/>
        <v>1540.1785714285716</v>
      </c>
      <c r="F10" s="3">
        <f t="shared" si="4"/>
        <v>1642.8571428571429</v>
      </c>
      <c r="G10" t="s">
        <v>4</v>
      </c>
      <c r="J10" s="2">
        <f t="shared" si="3"/>
        <v>44.946573752501806</v>
      </c>
    </row>
    <row r="11" spans="1:10" hidden="1" x14ac:dyDescent="0.25">
      <c r="B11">
        <v>70</v>
      </c>
      <c r="C11" s="3">
        <f t="shared" si="0"/>
        <v>2142.8571428571431</v>
      </c>
      <c r="D11" s="3">
        <f t="shared" si="1"/>
        <v>1857.1428571428571</v>
      </c>
      <c r="E11" s="3">
        <f t="shared" si="2"/>
        <v>1741.0714285714284</v>
      </c>
      <c r="F11" s="3">
        <f t="shared" si="4"/>
        <v>1857.1428571428571</v>
      </c>
      <c r="G11" t="s">
        <v>4</v>
      </c>
      <c r="J11" s="2">
        <f t="shared" si="3"/>
        <v>50.809170328915087</v>
      </c>
    </row>
    <row r="12" spans="1:10" hidden="1" x14ac:dyDescent="0.25">
      <c r="B12">
        <v>80</v>
      </c>
      <c r="C12" s="3">
        <f t="shared" si="0"/>
        <v>2428.5714285714284</v>
      </c>
      <c r="D12" s="3">
        <f t="shared" si="1"/>
        <v>2071.4285714285716</v>
      </c>
      <c r="E12" s="3">
        <f t="shared" si="2"/>
        <v>1941.9642857142858</v>
      </c>
      <c r="F12" s="3">
        <f t="shared" si="4"/>
        <v>2071.4285714285716</v>
      </c>
      <c r="G12" t="s">
        <v>4</v>
      </c>
      <c r="J12" s="2">
        <f t="shared" si="3"/>
        <v>56.671766905328369</v>
      </c>
    </row>
    <row r="13" spans="1:10" hidden="1" x14ac:dyDescent="0.25">
      <c r="B13">
        <v>90</v>
      </c>
      <c r="C13" s="3">
        <f t="shared" si="0"/>
        <v>2714.2857142857142</v>
      </c>
      <c r="D13" s="3">
        <f t="shared" si="1"/>
        <v>2285.7142857142858</v>
      </c>
      <c r="E13" s="3">
        <f t="shared" si="2"/>
        <v>2142.8571428571431</v>
      </c>
      <c r="F13" s="3">
        <f t="shared" si="4"/>
        <v>2285.7142857142858</v>
      </c>
      <c r="G13" t="s">
        <v>4</v>
      </c>
      <c r="J13" s="2">
        <f t="shared" si="3"/>
        <v>62.53436348174165</v>
      </c>
    </row>
    <row r="14" spans="1:10" hidden="1" x14ac:dyDescent="0.25">
      <c r="B14">
        <v>100</v>
      </c>
      <c r="C14" s="3">
        <f t="shared" si="0"/>
        <v>3000</v>
      </c>
      <c r="D14" s="3">
        <f t="shared" si="1"/>
        <v>2500</v>
      </c>
      <c r="E14" s="3">
        <f t="shared" si="2"/>
        <v>2343.75</v>
      </c>
      <c r="F14" s="3">
        <f t="shared" si="4"/>
        <v>2500</v>
      </c>
      <c r="G14" t="s">
        <v>4</v>
      </c>
      <c r="J14" s="2">
        <f t="shared" si="3"/>
        <v>68.396960058154917</v>
      </c>
    </row>
    <row r="15" spans="1:10" hidden="1" x14ac:dyDescent="0.25"/>
    <row r="16" spans="1:10" hidden="1" x14ac:dyDescent="0.25"/>
    <row r="17" spans="2:9" hidden="1" x14ac:dyDescent="0.25">
      <c r="C17" s="1" t="s">
        <v>9</v>
      </c>
      <c r="D17" s="4">
        <v>3000</v>
      </c>
      <c r="E17" t="s">
        <v>18</v>
      </c>
    </row>
    <row r="18" spans="2:9" hidden="1" x14ac:dyDescent="0.25">
      <c r="C18" s="1"/>
      <c r="D18" s="4">
        <v>1000</v>
      </c>
      <c r="E18" t="s">
        <v>11</v>
      </c>
    </row>
    <row r="19" spans="2:9" hidden="1" x14ac:dyDescent="0.25">
      <c r="C19" s="1" t="s">
        <v>10</v>
      </c>
      <c r="D19" s="4">
        <v>30</v>
      </c>
      <c r="E19" t="s">
        <v>12</v>
      </c>
    </row>
    <row r="20" spans="2:9" hidden="1" x14ac:dyDescent="0.25">
      <c r="C20" t="s">
        <v>13</v>
      </c>
      <c r="D20" s="4">
        <v>1000</v>
      </c>
      <c r="E20" t="s">
        <v>15</v>
      </c>
    </row>
    <row r="21" spans="2:9" hidden="1" x14ac:dyDescent="0.25">
      <c r="C21" s="1" t="s">
        <v>14</v>
      </c>
      <c r="D21" s="4">
        <v>2500</v>
      </c>
      <c r="E21" t="s">
        <v>17</v>
      </c>
    </row>
    <row r="22" spans="2:9" hidden="1" x14ac:dyDescent="0.25"/>
    <row r="23" spans="2:9" hidden="1" x14ac:dyDescent="0.25">
      <c r="C23" s="6" t="s">
        <v>19</v>
      </c>
      <c r="D23" s="7"/>
    </row>
    <row r="24" spans="2:9" hidden="1" x14ac:dyDescent="0.25">
      <c r="C24" s="5" t="s">
        <v>20</v>
      </c>
    </row>
    <row r="25" spans="2:9" hidden="1" x14ac:dyDescent="0.25">
      <c r="C25" s="5" t="s">
        <v>21</v>
      </c>
    </row>
    <row r="26" spans="2:9" hidden="1" x14ac:dyDescent="0.25">
      <c r="C26" s="5" t="s">
        <v>22</v>
      </c>
    </row>
    <row r="27" spans="2:9" hidden="1" x14ac:dyDescent="0.25">
      <c r="C27" s="5" t="s">
        <v>23</v>
      </c>
    </row>
    <row r="30" spans="2:9" x14ac:dyDescent="0.25">
      <c r="B30" t="s">
        <v>25</v>
      </c>
      <c r="C30" s="9">
        <v>30</v>
      </c>
      <c r="E30" t="s">
        <v>0</v>
      </c>
      <c r="F30" t="s">
        <v>5</v>
      </c>
      <c r="G30" t="s">
        <v>27</v>
      </c>
      <c r="H30" t="s">
        <v>8</v>
      </c>
    </row>
    <row r="31" spans="2:9" x14ac:dyDescent="0.25">
      <c r="B31" t="s">
        <v>33</v>
      </c>
      <c r="C31" s="9">
        <v>0</v>
      </c>
      <c r="E31">
        <v>0</v>
      </c>
      <c r="F31">
        <f t="shared" ref="F31:F71" si="5">(15/16)*IF(E31&lt;=xt,0.5*a_1*(1-COS(RADIANS(theta_t*E31/xt))),$M$59*E31+$N$59)</f>
        <v>0</v>
      </c>
      <c r="G31" s="2">
        <f t="shared" ref="G31:G71" si="6">IF(E31&lt;xt,nt,F31*16/15)</f>
        <v>1303.0133928571431</v>
      </c>
      <c r="H31" s="2">
        <f>(F31*16/42)*(2*PI()/60)*(8*25.4/1000)*(3600/1000)</f>
        <v>0</v>
      </c>
      <c r="I31" s="2">
        <f>(G31*15/42)*(2*PI()/60)*(8*25.4/1000)*(3600/1000)</f>
        <v>35.648861994596373</v>
      </c>
    </row>
    <row r="32" spans="2:9" x14ac:dyDescent="0.25">
      <c r="B32" t="s">
        <v>24</v>
      </c>
      <c r="C32">
        <f>O51</f>
        <v>1303.0133928571431</v>
      </c>
      <c r="E32">
        <f>E31+2.5</f>
        <v>2.5</v>
      </c>
      <c r="F32">
        <f t="shared" si="5"/>
        <v>18.712300346998536</v>
      </c>
      <c r="G32" s="2">
        <f t="shared" si="6"/>
        <v>1303.0133928571431</v>
      </c>
      <c r="H32" s="2">
        <f t="shared" ref="H32:H71" si="7">(F32*16/42)*(2*PI()/60)*(8*25.4/1000)*(3600/1000)</f>
        <v>0.54607550269007255</v>
      </c>
      <c r="I32" s="2">
        <f t="shared" ref="I32:I71" si="8">(G32*15/42)*(2*PI()/60)*(8*25.4/1000)*(3600/1000)</f>
        <v>35.648861994596373</v>
      </c>
    </row>
    <row r="33" spans="2:9" x14ac:dyDescent="0.25">
      <c r="B33" t="s">
        <v>34</v>
      </c>
      <c r="C33" s="9">
        <f>L55</f>
        <v>2</v>
      </c>
      <c r="E33">
        <f t="shared" ref="E33:E66" si="9">E32+2.5</f>
        <v>5</v>
      </c>
      <c r="F33">
        <f t="shared" si="5"/>
        <v>73.711405198472846</v>
      </c>
      <c r="G33" s="2">
        <f t="shared" si="6"/>
        <v>1303.0133928571431</v>
      </c>
      <c r="H33" s="2">
        <f t="shared" si="7"/>
        <v>2.1510980425345791</v>
      </c>
      <c r="I33" s="2">
        <f t="shared" si="8"/>
        <v>35.648861994596373</v>
      </c>
    </row>
    <row r="34" spans="2:9" x14ac:dyDescent="0.25">
      <c r="B34" t="s">
        <v>26</v>
      </c>
      <c r="C34" s="10">
        <f>O55</f>
        <v>2094.286964285714</v>
      </c>
      <c r="E34">
        <f t="shared" si="9"/>
        <v>7.5</v>
      </c>
      <c r="F34">
        <f t="shared" si="5"/>
        <v>161.65310936496749</v>
      </c>
      <c r="G34" s="2">
        <f t="shared" si="6"/>
        <v>1303.0133928571431</v>
      </c>
      <c r="H34" s="2">
        <f t="shared" si="7"/>
        <v>4.7174746728585522</v>
      </c>
      <c r="I34" s="2">
        <f t="shared" si="8"/>
        <v>35.648861994596373</v>
      </c>
    </row>
    <row r="35" spans="2:9" x14ac:dyDescent="0.25">
      <c r="E35">
        <f t="shared" si="9"/>
        <v>10</v>
      </c>
      <c r="F35">
        <f t="shared" si="5"/>
        <v>277.19014211839749</v>
      </c>
      <c r="G35" s="2">
        <f t="shared" si="6"/>
        <v>1303.0133928571431</v>
      </c>
      <c r="H35" s="2">
        <f t="shared" si="7"/>
        <v>8.0891575803674964</v>
      </c>
      <c r="I35" s="2">
        <f t="shared" si="8"/>
        <v>35.648861994596373</v>
      </c>
    </row>
    <row r="36" spans="2:9" x14ac:dyDescent="0.25">
      <c r="E36">
        <f t="shared" si="9"/>
        <v>12.5</v>
      </c>
      <c r="F36">
        <f t="shared" si="5"/>
        <v>413.29730649325336</v>
      </c>
      <c r="G36" s="2">
        <f t="shared" si="6"/>
        <v>1303.0133928571431</v>
      </c>
      <c r="H36" s="2">
        <f t="shared" si="7"/>
        <v>12.061132528794479</v>
      </c>
      <c r="I36" s="2">
        <f t="shared" si="8"/>
        <v>35.648861994596373</v>
      </c>
    </row>
    <row r="37" spans="2:9" x14ac:dyDescent="0.25">
      <c r="E37">
        <f t="shared" si="9"/>
        <v>15</v>
      </c>
      <c r="F37">
        <f t="shared" si="5"/>
        <v>561.6986444234235</v>
      </c>
      <c r="G37" s="2">
        <f t="shared" si="6"/>
        <v>1303.0133928571431</v>
      </c>
      <c r="H37" s="2">
        <f t="shared" si="7"/>
        <v>16.391884692202098</v>
      </c>
      <c r="I37" s="2">
        <f t="shared" si="8"/>
        <v>35.648861994596373</v>
      </c>
    </row>
    <row r="38" spans="2:9" x14ac:dyDescent="0.25">
      <c r="B38" t="s">
        <v>35</v>
      </c>
      <c r="C38">
        <v>169.97263571938348</v>
      </c>
      <c r="D38" t="s">
        <v>29</v>
      </c>
      <c r="E38">
        <f t="shared" si="9"/>
        <v>17.5</v>
      </c>
      <c r="F38">
        <f t="shared" si="5"/>
        <v>713.3706540579517</v>
      </c>
      <c r="G38" s="2">
        <f t="shared" si="6"/>
        <v>1303.0133928571431</v>
      </c>
      <c r="H38" s="2">
        <f t="shared" si="7"/>
        <v>20.818083896431602</v>
      </c>
      <c r="I38" s="2">
        <f t="shared" si="8"/>
        <v>35.648861994596373</v>
      </c>
    </row>
    <row r="39" spans="2:9" x14ac:dyDescent="0.25">
      <c r="C39">
        <f>(nt/dn_dx)/((1-COS(RADIANS(theta_t)))/((RADIANS(theta_t)/xt)*SIN(RADIANS(theta_t))))</f>
        <v>1.0000000441187511</v>
      </c>
      <c r="D39" s="5" t="s">
        <v>38</v>
      </c>
      <c r="E39">
        <f t="shared" si="9"/>
        <v>20</v>
      </c>
      <c r="F39">
        <f t="shared" si="5"/>
        <v>859.09096126757299</v>
      </c>
      <c r="G39" s="2">
        <f t="shared" si="6"/>
        <v>1303.0133928571431</v>
      </c>
      <c r="H39" s="2">
        <f t="shared" si="7"/>
        <v>25.070596336699772</v>
      </c>
      <c r="I39" s="2">
        <f t="shared" si="8"/>
        <v>35.648861994596373</v>
      </c>
    </row>
    <row r="40" spans="2:9" x14ac:dyDescent="0.25">
      <c r="B40" s="8" t="s">
        <v>39</v>
      </c>
      <c r="C40">
        <f>0.5*a_1*(RADIANS(theta_t)/xt)*SIN(RADIANS(theta_t))</f>
        <v>11.303908661979614</v>
      </c>
      <c r="E40">
        <f t="shared" si="9"/>
        <v>22.5</v>
      </c>
      <c r="F40">
        <f t="shared" si="5"/>
        <v>989.99908352451757</v>
      </c>
      <c r="G40" s="2">
        <f t="shared" si="6"/>
        <v>1303.0133928571431</v>
      </c>
      <c r="H40" s="2">
        <f t="shared" si="7"/>
        <v>28.890849183332865</v>
      </c>
      <c r="I40" s="2">
        <f t="shared" si="8"/>
        <v>35.648861994596373</v>
      </c>
    </row>
    <row r="41" spans="2:9" x14ac:dyDescent="0.25">
      <c r="B41" t="s">
        <v>30</v>
      </c>
      <c r="C41">
        <f>2*nt/(1-COS(RADIANS(theta_t)))</f>
        <v>1313.0419431335051</v>
      </c>
      <c r="E41">
        <f t="shared" si="9"/>
        <v>25</v>
      </c>
      <c r="F41">
        <f t="shared" si="5"/>
        <v>1098.1351890646908</v>
      </c>
      <c r="G41" s="2">
        <f t="shared" si="6"/>
        <v>1303.0133928571431</v>
      </c>
      <c r="H41" s="2">
        <f t="shared" si="7"/>
        <v>32.046553030362475</v>
      </c>
      <c r="I41" s="2">
        <f t="shared" si="8"/>
        <v>35.648861994596373</v>
      </c>
    </row>
    <row r="42" spans="2:9" x14ac:dyDescent="0.25">
      <c r="E42">
        <f t="shared" si="9"/>
        <v>27.5</v>
      </c>
      <c r="F42">
        <f t="shared" si="5"/>
        <v>1176.9240922320428</v>
      </c>
      <c r="G42" s="2">
        <f t="shared" si="6"/>
        <v>1303.0133928571431</v>
      </c>
      <c r="H42" s="2">
        <f t="shared" si="7"/>
        <v>34.345826187893451</v>
      </c>
      <c r="I42" s="2">
        <f t="shared" si="8"/>
        <v>35.648861994596373</v>
      </c>
    </row>
    <row r="43" spans="2:9" x14ac:dyDescent="0.25">
      <c r="E43">
        <f t="shared" si="9"/>
        <v>30</v>
      </c>
      <c r="F43">
        <f t="shared" si="5"/>
        <v>1221.5750558035716</v>
      </c>
      <c r="G43" s="2">
        <f t="shared" si="6"/>
        <v>1303.0133928571429</v>
      </c>
      <c r="H43" s="2">
        <f t="shared" si="7"/>
        <v>35.648861994596373</v>
      </c>
      <c r="I43" s="2">
        <f t="shared" si="8"/>
        <v>35.648861994596373</v>
      </c>
    </row>
    <row r="44" spans="2:9" x14ac:dyDescent="0.25">
      <c r="E44">
        <f t="shared" si="9"/>
        <v>32.5</v>
      </c>
      <c r="F44">
        <f t="shared" si="5"/>
        <v>1248.0685905612247</v>
      </c>
      <c r="G44" s="2">
        <f t="shared" si="6"/>
        <v>1331.2731632653063</v>
      </c>
      <c r="H44" s="2">
        <f t="shared" si="7"/>
        <v>36.422014949740287</v>
      </c>
      <c r="I44" s="2">
        <f t="shared" si="8"/>
        <v>36.422014949740287</v>
      </c>
    </row>
    <row r="45" spans="2:9" x14ac:dyDescent="0.25">
      <c r="E45">
        <f t="shared" si="9"/>
        <v>35</v>
      </c>
      <c r="F45">
        <f t="shared" si="5"/>
        <v>1274.5621253188779</v>
      </c>
      <c r="G45" s="2">
        <f t="shared" si="6"/>
        <v>1359.5329336734696</v>
      </c>
      <c r="H45" s="2">
        <f t="shared" si="7"/>
        <v>37.195167904884194</v>
      </c>
      <c r="I45" s="2">
        <f t="shared" si="8"/>
        <v>37.195167904884194</v>
      </c>
    </row>
    <row r="46" spans="2:9" x14ac:dyDescent="0.25">
      <c r="E46">
        <f t="shared" si="9"/>
        <v>37.5</v>
      </c>
      <c r="F46">
        <f t="shared" si="5"/>
        <v>1301.0556600765308</v>
      </c>
      <c r="G46" s="2">
        <f t="shared" si="6"/>
        <v>1387.7927040816328</v>
      </c>
      <c r="H46" s="2">
        <f t="shared" si="7"/>
        <v>37.968320860028101</v>
      </c>
      <c r="I46" s="2">
        <f t="shared" si="8"/>
        <v>37.968320860028101</v>
      </c>
    </row>
    <row r="47" spans="2:9" x14ac:dyDescent="0.25">
      <c r="E47">
        <f t="shared" si="9"/>
        <v>40</v>
      </c>
      <c r="F47">
        <f t="shared" si="5"/>
        <v>1327.5491948341839</v>
      </c>
      <c r="G47" s="2">
        <f t="shared" si="6"/>
        <v>1416.0524744897962</v>
      </c>
      <c r="H47" s="2">
        <f t="shared" si="7"/>
        <v>38.741473815172007</v>
      </c>
      <c r="I47" s="2">
        <f t="shared" si="8"/>
        <v>38.741473815172007</v>
      </c>
    </row>
    <row r="48" spans="2:9" x14ac:dyDescent="0.25">
      <c r="E48">
        <f t="shared" si="9"/>
        <v>42.5</v>
      </c>
      <c r="F48">
        <f t="shared" si="5"/>
        <v>1354.0427295918369</v>
      </c>
      <c r="G48" s="2">
        <f t="shared" si="6"/>
        <v>1444.3122448979593</v>
      </c>
      <c r="H48" s="2">
        <f t="shared" si="7"/>
        <v>39.514626770315914</v>
      </c>
      <c r="I48" s="2">
        <f t="shared" si="8"/>
        <v>39.514626770315914</v>
      </c>
    </row>
    <row r="49" spans="5:15" x14ac:dyDescent="0.25">
      <c r="E49">
        <f t="shared" si="9"/>
        <v>45</v>
      </c>
      <c r="F49">
        <f t="shared" si="5"/>
        <v>1380.53626434949</v>
      </c>
      <c r="G49" s="2">
        <f t="shared" si="6"/>
        <v>1472.5720153061227</v>
      </c>
      <c r="H49" s="2">
        <f t="shared" si="7"/>
        <v>40.287779725459821</v>
      </c>
      <c r="I49" s="2">
        <f t="shared" si="8"/>
        <v>40.287779725459821</v>
      </c>
    </row>
    <row r="50" spans="5:15" x14ac:dyDescent="0.25">
      <c r="E50">
        <f t="shared" si="9"/>
        <v>47.5</v>
      </c>
      <c r="F50">
        <f t="shared" si="5"/>
        <v>1407.0297991071429</v>
      </c>
      <c r="G50" s="2">
        <f t="shared" si="6"/>
        <v>1500.8317857142858</v>
      </c>
      <c r="H50" s="2">
        <f t="shared" si="7"/>
        <v>41.060932680603727</v>
      </c>
      <c r="I50" s="2">
        <f t="shared" si="8"/>
        <v>41.060932680603727</v>
      </c>
      <c r="L50" t="s">
        <v>28</v>
      </c>
      <c r="M50" t="s">
        <v>36</v>
      </c>
      <c r="N50" t="s">
        <v>0</v>
      </c>
      <c r="O50" t="s">
        <v>37</v>
      </c>
    </row>
    <row r="51" spans="5:15" x14ac:dyDescent="0.25">
      <c r="E51">
        <f t="shared" si="9"/>
        <v>50</v>
      </c>
      <c r="F51">
        <f t="shared" si="5"/>
        <v>1433.5233338647961</v>
      </c>
      <c r="G51" s="2">
        <f t="shared" si="6"/>
        <v>1529.0915561224492</v>
      </c>
      <c r="H51" s="2">
        <f t="shared" si="7"/>
        <v>41.834085635747641</v>
      </c>
      <c r="I51" s="2">
        <f t="shared" si="8"/>
        <v>41.834085635747641</v>
      </c>
      <c r="L51">
        <v>0</v>
      </c>
      <c r="M51">
        <v>1350</v>
      </c>
      <c r="N51" s="2">
        <f>xt</f>
        <v>30</v>
      </c>
      <c r="O51" s="4">
        <f>$M$59*N51+$N$59</f>
        <v>1303.0133928571431</v>
      </c>
    </row>
    <row r="52" spans="5:15" x14ac:dyDescent="0.25">
      <c r="E52">
        <f t="shared" si="9"/>
        <v>52.5</v>
      </c>
      <c r="F52">
        <f t="shared" si="5"/>
        <v>1460.016868622449</v>
      </c>
      <c r="G52" s="2">
        <f t="shared" si="6"/>
        <v>1557.3513265306124</v>
      </c>
      <c r="H52" s="2">
        <f t="shared" si="7"/>
        <v>42.607238590891548</v>
      </c>
      <c r="I52" s="2">
        <f t="shared" si="8"/>
        <v>42.607238590891548</v>
      </c>
      <c r="L52">
        <v>0.5</v>
      </c>
      <c r="M52">
        <v>1460.7909999999999</v>
      </c>
      <c r="N52" s="2">
        <f t="shared" ref="N52:N57" si="10">N51+(100-xt)/4</f>
        <v>47.5</v>
      </c>
      <c r="O52">
        <f t="shared" ref="O52:O57" si="11">$M$59*N52+$N$59</f>
        <v>1500.8317857142858</v>
      </c>
    </row>
    <row r="53" spans="5:15" x14ac:dyDescent="0.25">
      <c r="E53">
        <f t="shared" si="9"/>
        <v>55</v>
      </c>
      <c r="F53">
        <f t="shared" si="5"/>
        <v>1486.5104033801022</v>
      </c>
      <c r="G53" s="2">
        <f t="shared" si="6"/>
        <v>1585.6110969387757</v>
      </c>
      <c r="H53" s="2">
        <f t="shared" si="7"/>
        <v>43.380391546035462</v>
      </c>
      <c r="I53" s="2">
        <f t="shared" si="8"/>
        <v>43.380391546035462</v>
      </c>
      <c r="L53">
        <v>1</v>
      </c>
      <c r="M53">
        <v>1690.027</v>
      </c>
      <c r="N53" s="2">
        <f t="shared" si="10"/>
        <v>65</v>
      </c>
      <c r="O53">
        <f t="shared" si="11"/>
        <v>1698.6501785714286</v>
      </c>
    </row>
    <row r="54" spans="5:15" x14ac:dyDescent="0.25">
      <c r="E54">
        <f t="shared" si="9"/>
        <v>57.5</v>
      </c>
      <c r="F54">
        <f t="shared" si="5"/>
        <v>1513.0039381377553</v>
      </c>
      <c r="G54" s="2">
        <f t="shared" si="6"/>
        <v>1613.8708673469389</v>
      </c>
      <c r="H54" s="2">
        <f t="shared" si="7"/>
        <v>44.153544501179368</v>
      </c>
      <c r="I54" s="2">
        <f t="shared" si="8"/>
        <v>44.153544501179368</v>
      </c>
      <c r="L54">
        <v>1.5</v>
      </c>
      <c r="M54">
        <v>1828.29</v>
      </c>
      <c r="N54" s="2">
        <f t="shared" si="10"/>
        <v>82.5</v>
      </c>
      <c r="O54">
        <f t="shared" si="11"/>
        <v>1896.4685714285715</v>
      </c>
    </row>
    <row r="55" spans="5:15" x14ac:dyDescent="0.25">
      <c r="E55">
        <f t="shared" si="9"/>
        <v>60</v>
      </c>
      <c r="F55">
        <f t="shared" si="5"/>
        <v>1539.4974728954085</v>
      </c>
      <c r="G55" s="2">
        <f t="shared" si="6"/>
        <v>1642.1306377551023</v>
      </c>
      <c r="H55" s="2">
        <f t="shared" si="7"/>
        <v>44.926697456323282</v>
      </c>
      <c r="I55" s="2">
        <f t="shared" si="8"/>
        <v>44.926697456323282</v>
      </c>
      <c r="L55">
        <v>2</v>
      </c>
      <c r="M55">
        <v>2129.67</v>
      </c>
      <c r="N55" s="2">
        <f t="shared" si="10"/>
        <v>100</v>
      </c>
      <c r="O55">
        <f t="shared" si="11"/>
        <v>2094.286964285714</v>
      </c>
    </row>
    <row r="56" spans="5:15" x14ac:dyDescent="0.25">
      <c r="E56">
        <f t="shared" si="9"/>
        <v>62.5</v>
      </c>
      <c r="F56">
        <f t="shared" si="5"/>
        <v>1565.9910076530614</v>
      </c>
      <c r="G56" s="2">
        <f t="shared" si="6"/>
        <v>1670.3904081632654</v>
      </c>
      <c r="H56" s="2">
        <f t="shared" si="7"/>
        <v>45.699850411467189</v>
      </c>
      <c r="I56" s="2">
        <f t="shared" si="8"/>
        <v>45.699850411467189</v>
      </c>
      <c r="L56">
        <v>2.5</v>
      </c>
      <c r="M56">
        <v>2378.652</v>
      </c>
      <c r="N56" s="2">
        <f t="shared" si="10"/>
        <v>117.5</v>
      </c>
      <c r="O56">
        <f t="shared" si="11"/>
        <v>2292.1053571428574</v>
      </c>
    </row>
    <row r="57" spans="5:15" x14ac:dyDescent="0.25">
      <c r="E57">
        <f t="shared" si="9"/>
        <v>65</v>
      </c>
      <c r="F57">
        <f t="shared" si="5"/>
        <v>1592.4845424107143</v>
      </c>
      <c r="G57" s="2">
        <f t="shared" si="6"/>
        <v>1698.6501785714286</v>
      </c>
      <c r="H57" s="2">
        <f t="shared" si="7"/>
        <v>46.473003366611088</v>
      </c>
      <c r="I57" s="2">
        <f t="shared" si="8"/>
        <v>46.473003366611088</v>
      </c>
      <c r="L57">
        <v>3</v>
      </c>
      <c r="M57">
        <v>2437.85</v>
      </c>
      <c r="N57" s="2">
        <f t="shared" si="10"/>
        <v>135</v>
      </c>
      <c r="O57">
        <f t="shared" si="11"/>
        <v>2489.9237499999999</v>
      </c>
    </row>
    <row r="58" spans="5:15" x14ac:dyDescent="0.25">
      <c r="E58">
        <f t="shared" si="9"/>
        <v>67.5</v>
      </c>
      <c r="F58">
        <f t="shared" si="5"/>
        <v>1618.9780771683675</v>
      </c>
      <c r="G58" s="2">
        <f t="shared" si="6"/>
        <v>1726.9099489795919</v>
      </c>
      <c r="H58" s="2">
        <f t="shared" si="7"/>
        <v>47.246156321755002</v>
      </c>
      <c r="I58" s="2">
        <f t="shared" si="8"/>
        <v>47.246156321755002</v>
      </c>
    </row>
    <row r="59" spans="5:15" x14ac:dyDescent="0.25">
      <c r="E59">
        <f t="shared" si="9"/>
        <v>70</v>
      </c>
      <c r="F59">
        <f t="shared" si="5"/>
        <v>1645.4716119260206</v>
      </c>
      <c r="G59" s="2">
        <f t="shared" si="6"/>
        <v>1755.1697193877553</v>
      </c>
      <c r="H59" s="2">
        <f t="shared" si="7"/>
        <v>48.019309276898909</v>
      </c>
      <c r="I59" s="2">
        <f t="shared" si="8"/>
        <v>48.019309276898909</v>
      </c>
      <c r="L59" t="s">
        <v>31</v>
      </c>
      <c r="M59" cm="1">
        <f t="array" ref="M59:N59">LINEST(M51:M57,N51:N57,TRUE,FALSE)</f>
        <v>11.303908163265303</v>
      </c>
      <c r="N59">
        <v>963.89614795918396</v>
      </c>
    </row>
    <row r="60" spans="5:15" x14ac:dyDescent="0.25">
      <c r="E60">
        <f t="shared" si="9"/>
        <v>72.5</v>
      </c>
      <c r="F60">
        <f t="shared" si="5"/>
        <v>1671.9651466836735</v>
      </c>
      <c r="G60" s="2">
        <f t="shared" si="6"/>
        <v>1783.4294897959185</v>
      </c>
      <c r="H60" s="2">
        <f t="shared" si="7"/>
        <v>48.792462232042816</v>
      </c>
      <c r="I60" s="2">
        <f t="shared" si="8"/>
        <v>48.792462232042816</v>
      </c>
      <c r="L60" t="s">
        <v>32</v>
      </c>
      <c r="M60" cm="1">
        <f t="array" ref="M60:N60">LINEST(M51:M57,L51:L57,TRUE,FALSE)</f>
        <v>395.63678571428562</v>
      </c>
      <c r="N60">
        <v>1303.0133928571431</v>
      </c>
    </row>
    <row r="61" spans="5:15" x14ac:dyDescent="0.25">
      <c r="E61">
        <f t="shared" si="9"/>
        <v>75</v>
      </c>
      <c r="F61">
        <f t="shared" si="5"/>
        <v>1698.4586814413265</v>
      </c>
      <c r="G61" s="2">
        <f t="shared" si="6"/>
        <v>1811.6892602040816</v>
      </c>
      <c r="H61" s="2">
        <f t="shared" si="7"/>
        <v>49.565615187186708</v>
      </c>
      <c r="I61" s="2">
        <f t="shared" si="8"/>
        <v>49.565615187186708</v>
      </c>
    </row>
    <row r="62" spans="5:15" x14ac:dyDescent="0.25">
      <c r="E62">
        <f t="shared" si="9"/>
        <v>77.5</v>
      </c>
      <c r="F62">
        <f t="shared" si="5"/>
        <v>1724.9522161989796</v>
      </c>
      <c r="G62" s="2">
        <f t="shared" si="6"/>
        <v>1839.949030612245</v>
      </c>
      <c r="H62" s="2">
        <f t="shared" si="7"/>
        <v>50.338768142330629</v>
      </c>
      <c r="I62" s="2">
        <f t="shared" si="8"/>
        <v>50.338768142330629</v>
      </c>
    </row>
    <row r="63" spans="5:15" x14ac:dyDescent="0.25">
      <c r="E63">
        <f t="shared" si="9"/>
        <v>80</v>
      </c>
      <c r="F63">
        <f t="shared" si="5"/>
        <v>1751.4457509566328</v>
      </c>
      <c r="G63" s="2">
        <f t="shared" si="6"/>
        <v>1868.2088010204084</v>
      </c>
      <c r="H63" s="2">
        <f t="shared" si="7"/>
        <v>51.111921097474536</v>
      </c>
      <c r="I63" s="2">
        <f t="shared" si="8"/>
        <v>51.111921097474536</v>
      </c>
    </row>
    <row r="64" spans="5:15" x14ac:dyDescent="0.25">
      <c r="E64">
        <f t="shared" si="9"/>
        <v>82.5</v>
      </c>
      <c r="F64">
        <f t="shared" si="5"/>
        <v>1777.9392857142857</v>
      </c>
      <c r="G64" s="2">
        <f t="shared" si="6"/>
        <v>1896.4685714285713</v>
      </c>
      <c r="H64" s="2">
        <f t="shared" si="7"/>
        <v>51.885074052618442</v>
      </c>
      <c r="I64" s="2">
        <f t="shared" si="8"/>
        <v>51.885074052618442</v>
      </c>
    </row>
    <row r="65" spans="5:9" x14ac:dyDescent="0.25">
      <c r="E65">
        <f t="shared" si="9"/>
        <v>85</v>
      </c>
      <c r="F65">
        <f t="shared" si="5"/>
        <v>1804.4328204719388</v>
      </c>
      <c r="G65" s="2">
        <f t="shared" si="6"/>
        <v>1924.7283418367347</v>
      </c>
      <c r="H65" s="2">
        <f t="shared" si="7"/>
        <v>52.658227007762349</v>
      </c>
      <c r="I65" s="2">
        <f t="shared" si="8"/>
        <v>52.658227007762349</v>
      </c>
    </row>
    <row r="66" spans="5:9" x14ac:dyDescent="0.25">
      <c r="E66">
        <f t="shared" si="9"/>
        <v>87.5</v>
      </c>
      <c r="F66">
        <f t="shared" si="5"/>
        <v>1830.926355229592</v>
      </c>
      <c r="G66" s="2">
        <f t="shared" si="6"/>
        <v>1952.988112244898</v>
      </c>
      <c r="H66" s="2">
        <f t="shared" si="7"/>
        <v>53.43137996290627</v>
      </c>
      <c r="I66" s="2">
        <f t="shared" si="8"/>
        <v>53.43137996290627</v>
      </c>
    </row>
    <row r="67" spans="5:9" x14ac:dyDescent="0.25">
      <c r="E67">
        <f>E66+2.5</f>
        <v>90</v>
      </c>
      <c r="F67">
        <f t="shared" si="5"/>
        <v>1857.4198899872451</v>
      </c>
      <c r="G67" s="2">
        <f t="shared" si="6"/>
        <v>1981.2478826530614</v>
      </c>
      <c r="H67" s="2">
        <f t="shared" si="7"/>
        <v>54.204532918050177</v>
      </c>
      <c r="I67" s="2">
        <f t="shared" si="8"/>
        <v>54.204532918050177</v>
      </c>
    </row>
    <row r="68" spans="5:9" x14ac:dyDescent="0.25">
      <c r="E68">
        <f t="shared" ref="E68:E71" si="12">E67+2.5</f>
        <v>92.5</v>
      </c>
      <c r="F68">
        <f t="shared" si="5"/>
        <v>1883.9134247448981</v>
      </c>
      <c r="G68" s="2">
        <f t="shared" si="6"/>
        <v>2009.5076530612246</v>
      </c>
      <c r="H68" s="2">
        <f t="shared" si="7"/>
        <v>54.977685873194083</v>
      </c>
      <c r="I68" s="2">
        <f t="shared" si="8"/>
        <v>54.977685873194083</v>
      </c>
    </row>
    <row r="69" spans="5:9" x14ac:dyDescent="0.25">
      <c r="E69">
        <f t="shared" si="12"/>
        <v>95</v>
      </c>
      <c r="F69">
        <f t="shared" si="5"/>
        <v>1910.406959502551</v>
      </c>
      <c r="G69" s="2">
        <f t="shared" si="6"/>
        <v>2037.7674234693877</v>
      </c>
      <c r="H69" s="2">
        <f t="shared" si="7"/>
        <v>55.75083882833799</v>
      </c>
      <c r="I69" s="2">
        <f t="shared" si="8"/>
        <v>55.75083882833799</v>
      </c>
    </row>
    <row r="70" spans="5:9" x14ac:dyDescent="0.25">
      <c r="E70">
        <f t="shared" si="12"/>
        <v>97.5</v>
      </c>
      <c r="F70">
        <f t="shared" si="5"/>
        <v>1936.9004942602044</v>
      </c>
      <c r="G70" s="2">
        <f t="shared" si="6"/>
        <v>2066.0271938775513</v>
      </c>
      <c r="H70" s="2">
        <f t="shared" si="7"/>
        <v>56.523991783481904</v>
      </c>
      <c r="I70" s="2">
        <f t="shared" si="8"/>
        <v>56.523991783481904</v>
      </c>
    </row>
    <row r="71" spans="5:9" x14ac:dyDescent="0.25">
      <c r="E71">
        <f t="shared" si="12"/>
        <v>100</v>
      </c>
      <c r="F71">
        <f t="shared" si="5"/>
        <v>1963.3940290178568</v>
      </c>
      <c r="G71" s="2">
        <f t="shared" si="6"/>
        <v>2094.286964285714</v>
      </c>
      <c r="H71" s="2">
        <f t="shared" si="7"/>
        <v>57.297144738625796</v>
      </c>
      <c r="I71" s="2">
        <f t="shared" si="8"/>
        <v>57.297144738625796</v>
      </c>
    </row>
  </sheetData>
  <hyperlinks>
    <hyperlink ref="B40" r:id="rId1" xr:uid="{F8D302B6-9423-4095-B848-88EC871556EA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5967F-E711-4381-8544-DFF5599BEEBB}">
  <dimension ref="A1:L1502"/>
  <sheetViews>
    <sheetView workbookViewId="0">
      <selection activeCell="G4" sqref="G4"/>
    </sheetView>
  </sheetViews>
  <sheetFormatPr defaultRowHeight="15" x14ac:dyDescent="0.25"/>
  <cols>
    <col min="11" max="11" width="10.42578125" bestFit="1" customWidth="1"/>
  </cols>
  <sheetData>
    <row r="1" spans="1:12" x14ac:dyDescent="0.25">
      <c r="A1" t="s">
        <v>40</v>
      </c>
      <c r="B1" t="s">
        <v>8</v>
      </c>
      <c r="C1" t="s">
        <v>48</v>
      </c>
      <c r="H1" t="s">
        <v>42</v>
      </c>
    </row>
    <row r="2" spans="1:12" x14ac:dyDescent="0.25">
      <c r="A2">
        <v>0</v>
      </c>
      <c r="B2" s="2">
        <f>I3</f>
        <v>35.6</v>
      </c>
      <c r="C2" s="2">
        <f>INDEX($K$3:$K$40,MATCH(A2,$H$2:$H$40,1))</f>
        <v>0</v>
      </c>
      <c r="F2" t="s">
        <v>41</v>
      </c>
      <c r="G2" t="s">
        <v>43</v>
      </c>
      <c r="H2">
        <v>0</v>
      </c>
      <c r="I2" t="s">
        <v>44</v>
      </c>
      <c r="J2" t="s">
        <v>45</v>
      </c>
      <c r="K2" t="s">
        <v>47</v>
      </c>
      <c r="L2" t="s">
        <v>46</v>
      </c>
    </row>
    <row r="3" spans="1:12" ht="15.75" thickBot="1" x14ac:dyDescent="0.3">
      <c r="A3">
        <f>A2+0.2</f>
        <v>0.2</v>
      </c>
      <c r="B3" s="2">
        <f>B2+C2</f>
        <v>35.6</v>
      </c>
      <c r="C3" s="2">
        <f t="shared" ref="C3:C66" si="0">INDEX($K$3:$K$40,MATCH(A3,$H$2:$H$40,1))</f>
        <v>0</v>
      </c>
      <c r="F3">
        <v>0</v>
      </c>
      <c r="G3">
        <v>30</v>
      </c>
      <c r="H3">
        <f>F3+G3</f>
        <v>30</v>
      </c>
      <c r="I3">
        <v>35.6</v>
      </c>
      <c r="J3">
        <v>35.6</v>
      </c>
      <c r="K3">
        <f>(J3-I3)/G3</f>
        <v>0</v>
      </c>
    </row>
    <row r="4" spans="1:12" x14ac:dyDescent="0.25">
      <c r="A4">
        <f t="shared" ref="A4:A32" si="1">A3+0.2</f>
        <v>0.4</v>
      </c>
      <c r="B4" s="2">
        <f t="shared" ref="B4:B67" si="2">B3+C3</f>
        <v>35.6</v>
      </c>
      <c r="C4" s="2">
        <f t="shared" si="0"/>
        <v>0</v>
      </c>
      <c r="F4" s="11">
        <f>H3</f>
        <v>30</v>
      </c>
      <c r="G4" s="12">
        <v>10</v>
      </c>
      <c r="H4" s="12">
        <f>F4+G4</f>
        <v>40</v>
      </c>
      <c r="I4" s="12">
        <f>J3</f>
        <v>35.6</v>
      </c>
      <c r="J4" s="12">
        <v>40</v>
      </c>
      <c r="K4" s="13">
        <f t="shared" ref="K4:K26" si="3">(J4-I4)/G4</f>
        <v>0.43999999999999984</v>
      </c>
    </row>
    <row r="5" spans="1:12" x14ac:dyDescent="0.25">
      <c r="A5">
        <f t="shared" si="1"/>
        <v>0.60000000000000009</v>
      </c>
      <c r="B5" s="2">
        <f t="shared" si="2"/>
        <v>35.6</v>
      </c>
      <c r="C5" s="2">
        <f t="shared" si="0"/>
        <v>0</v>
      </c>
      <c r="F5" s="14">
        <f t="shared" ref="F5:F13" si="4">H4</f>
        <v>40</v>
      </c>
      <c r="G5">
        <v>5</v>
      </c>
      <c r="H5">
        <f t="shared" ref="H5:H13" si="5">F5+G5</f>
        <v>45</v>
      </c>
      <c r="I5">
        <f t="shared" ref="I5:I40" si="6">J4</f>
        <v>40</v>
      </c>
      <c r="J5">
        <v>40</v>
      </c>
      <c r="K5" s="15">
        <f t="shared" si="3"/>
        <v>0</v>
      </c>
    </row>
    <row r="6" spans="1:12" x14ac:dyDescent="0.25">
      <c r="A6">
        <f t="shared" si="1"/>
        <v>0.8</v>
      </c>
      <c r="B6" s="2">
        <f t="shared" si="2"/>
        <v>35.6</v>
      </c>
      <c r="C6" s="2">
        <f t="shared" si="0"/>
        <v>0</v>
      </c>
      <c r="F6" s="14">
        <f t="shared" si="4"/>
        <v>45</v>
      </c>
      <c r="G6">
        <v>10</v>
      </c>
      <c r="H6">
        <f t="shared" si="5"/>
        <v>55</v>
      </c>
      <c r="I6">
        <f t="shared" si="6"/>
        <v>40</v>
      </c>
      <c r="J6">
        <v>35.6</v>
      </c>
      <c r="K6" s="15">
        <f t="shared" si="3"/>
        <v>-0.43999999999999984</v>
      </c>
    </row>
    <row r="7" spans="1:12" x14ac:dyDescent="0.25">
      <c r="A7">
        <f t="shared" si="1"/>
        <v>1</v>
      </c>
      <c r="B7" s="2">
        <f t="shared" si="2"/>
        <v>35.6</v>
      </c>
      <c r="C7" s="2">
        <f t="shared" si="0"/>
        <v>0</v>
      </c>
      <c r="F7" s="14">
        <f t="shared" si="4"/>
        <v>55</v>
      </c>
      <c r="G7">
        <v>10</v>
      </c>
      <c r="H7">
        <f t="shared" si="5"/>
        <v>65</v>
      </c>
      <c r="I7">
        <f t="shared" si="6"/>
        <v>35.6</v>
      </c>
      <c r="J7">
        <v>35.6</v>
      </c>
      <c r="K7" s="15">
        <f t="shared" si="3"/>
        <v>0</v>
      </c>
    </row>
    <row r="8" spans="1:12" x14ac:dyDescent="0.25">
      <c r="A8">
        <f t="shared" si="1"/>
        <v>1.2</v>
      </c>
      <c r="B8" s="2">
        <f t="shared" si="2"/>
        <v>35.6</v>
      </c>
      <c r="C8" s="2">
        <f t="shared" si="0"/>
        <v>0</v>
      </c>
      <c r="F8" s="14">
        <f t="shared" si="4"/>
        <v>65</v>
      </c>
      <c r="G8">
        <v>10</v>
      </c>
      <c r="H8">
        <f t="shared" si="5"/>
        <v>75</v>
      </c>
      <c r="I8">
        <f t="shared" si="6"/>
        <v>35.6</v>
      </c>
      <c r="J8">
        <v>50</v>
      </c>
      <c r="K8" s="15">
        <f t="shared" si="3"/>
        <v>1.44</v>
      </c>
    </row>
    <row r="9" spans="1:12" x14ac:dyDescent="0.25">
      <c r="A9">
        <f t="shared" si="1"/>
        <v>1.4</v>
      </c>
      <c r="B9" s="2">
        <f t="shared" si="2"/>
        <v>35.6</v>
      </c>
      <c r="C9" s="2">
        <f t="shared" si="0"/>
        <v>0</v>
      </c>
      <c r="F9" s="14">
        <f t="shared" si="4"/>
        <v>75</v>
      </c>
      <c r="G9">
        <v>5</v>
      </c>
      <c r="H9">
        <f t="shared" si="5"/>
        <v>80</v>
      </c>
      <c r="I9">
        <f t="shared" si="6"/>
        <v>50</v>
      </c>
      <c r="J9">
        <v>50</v>
      </c>
      <c r="K9" s="15">
        <f t="shared" si="3"/>
        <v>0</v>
      </c>
    </row>
    <row r="10" spans="1:12" x14ac:dyDescent="0.25">
      <c r="A10">
        <f t="shared" si="1"/>
        <v>1.5999999999999999</v>
      </c>
      <c r="B10" s="2">
        <f t="shared" si="2"/>
        <v>35.6</v>
      </c>
      <c r="C10" s="2">
        <f t="shared" si="0"/>
        <v>0</v>
      </c>
      <c r="F10" s="14">
        <f t="shared" si="4"/>
        <v>80</v>
      </c>
      <c r="G10">
        <v>10</v>
      </c>
      <c r="H10">
        <f t="shared" si="5"/>
        <v>90</v>
      </c>
      <c r="I10">
        <f t="shared" si="6"/>
        <v>50</v>
      </c>
      <c r="J10">
        <v>35.6</v>
      </c>
      <c r="K10" s="15">
        <f t="shared" si="3"/>
        <v>-1.44</v>
      </c>
    </row>
    <row r="11" spans="1:12" x14ac:dyDescent="0.25">
      <c r="A11">
        <f t="shared" si="1"/>
        <v>1.7999999999999998</v>
      </c>
      <c r="B11" s="2">
        <f t="shared" si="2"/>
        <v>35.6</v>
      </c>
      <c r="C11" s="2">
        <f t="shared" si="0"/>
        <v>0</v>
      </c>
      <c r="F11" s="14">
        <f t="shared" si="4"/>
        <v>90</v>
      </c>
      <c r="G11">
        <v>10</v>
      </c>
      <c r="H11">
        <f t="shared" si="5"/>
        <v>100</v>
      </c>
      <c r="I11">
        <f t="shared" si="6"/>
        <v>35.6</v>
      </c>
      <c r="J11">
        <v>35.6</v>
      </c>
      <c r="K11" s="15">
        <f t="shared" si="3"/>
        <v>0</v>
      </c>
    </row>
    <row r="12" spans="1:12" x14ac:dyDescent="0.25">
      <c r="A12">
        <f t="shared" si="1"/>
        <v>1.9999999999999998</v>
      </c>
      <c r="B12" s="2">
        <f t="shared" si="2"/>
        <v>35.6</v>
      </c>
      <c r="C12" s="2">
        <f t="shared" si="0"/>
        <v>0</v>
      </c>
      <c r="F12" s="14">
        <f t="shared" si="4"/>
        <v>100</v>
      </c>
      <c r="G12">
        <v>10</v>
      </c>
      <c r="H12">
        <f t="shared" si="5"/>
        <v>110</v>
      </c>
      <c r="I12">
        <f t="shared" si="6"/>
        <v>35.6</v>
      </c>
      <c r="J12">
        <v>60</v>
      </c>
      <c r="K12" s="15">
        <f t="shared" si="3"/>
        <v>2.44</v>
      </c>
    </row>
    <row r="13" spans="1:12" x14ac:dyDescent="0.25">
      <c r="A13">
        <f t="shared" si="1"/>
        <v>2.1999999999999997</v>
      </c>
      <c r="B13" s="2">
        <f t="shared" si="2"/>
        <v>35.6</v>
      </c>
      <c r="C13" s="2">
        <f t="shared" si="0"/>
        <v>0</v>
      </c>
      <c r="F13" s="14">
        <f t="shared" si="4"/>
        <v>110</v>
      </c>
      <c r="G13">
        <v>5</v>
      </c>
      <c r="H13">
        <f t="shared" si="5"/>
        <v>115</v>
      </c>
      <c r="I13">
        <f t="shared" si="6"/>
        <v>60</v>
      </c>
      <c r="J13">
        <v>60</v>
      </c>
      <c r="K13" s="15">
        <f t="shared" si="3"/>
        <v>0</v>
      </c>
    </row>
    <row r="14" spans="1:12" x14ac:dyDescent="0.25">
      <c r="A14">
        <f t="shared" si="1"/>
        <v>2.4</v>
      </c>
      <c r="B14" s="2">
        <f t="shared" si="2"/>
        <v>35.6</v>
      </c>
      <c r="C14" s="2">
        <f t="shared" si="0"/>
        <v>0</v>
      </c>
      <c r="F14" s="14">
        <f t="shared" ref="F14:F26" si="7">H13</f>
        <v>115</v>
      </c>
      <c r="G14">
        <v>10</v>
      </c>
      <c r="H14">
        <f t="shared" ref="H14:H26" si="8">F14+G14</f>
        <v>125</v>
      </c>
      <c r="I14">
        <f t="shared" si="6"/>
        <v>60</v>
      </c>
      <c r="J14">
        <v>35.6</v>
      </c>
      <c r="K14" s="15">
        <f t="shared" si="3"/>
        <v>-2.44</v>
      </c>
    </row>
    <row r="15" spans="1:12" ht="15.75" thickBot="1" x14ac:dyDescent="0.3">
      <c r="A15">
        <f t="shared" si="1"/>
        <v>2.6</v>
      </c>
      <c r="B15" s="2">
        <f t="shared" si="2"/>
        <v>35.6</v>
      </c>
      <c r="C15" s="2">
        <f t="shared" si="0"/>
        <v>0</v>
      </c>
      <c r="F15" s="16">
        <f t="shared" si="7"/>
        <v>125</v>
      </c>
      <c r="G15" s="17">
        <v>10</v>
      </c>
      <c r="H15" s="17">
        <f t="shared" si="8"/>
        <v>135</v>
      </c>
      <c r="I15" s="17">
        <f t="shared" si="6"/>
        <v>35.6</v>
      </c>
      <c r="J15" s="17">
        <v>35.6</v>
      </c>
      <c r="K15" s="18">
        <f t="shared" si="3"/>
        <v>0</v>
      </c>
    </row>
    <row r="16" spans="1:12" x14ac:dyDescent="0.25">
      <c r="A16">
        <f t="shared" si="1"/>
        <v>2.8000000000000003</v>
      </c>
      <c r="B16" s="2">
        <f t="shared" si="2"/>
        <v>35.6</v>
      </c>
      <c r="C16" s="2">
        <f t="shared" si="0"/>
        <v>0</v>
      </c>
      <c r="F16" s="11">
        <f t="shared" si="7"/>
        <v>135</v>
      </c>
      <c r="G16" s="12">
        <v>5</v>
      </c>
      <c r="H16" s="12">
        <f t="shared" si="8"/>
        <v>140</v>
      </c>
      <c r="I16" s="12">
        <f t="shared" si="6"/>
        <v>35.6</v>
      </c>
      <c r="J16" s="12">
        <v>40</v>
      </c>
      <c r="K16" s="13">
        <f t="shared" si="3"/>
        <v>0.87999999999999967</v>
      </c>
    </row>
    <row r="17" spans="1:11" x14ac:dyDescent="0.25">
      <c r="A17">
        <f t="shared" si="1"/>
        <v>3.0000000000000004</v>
      </c>
      <c r="B17" s="2">
        <f t="shared" si="2"/>
        <v>35.6</v>
      </c>
      <c r="C17" s="2">
        <f t="shared" si="0"/>
        <v>0</v>
      </c>
      <c r="F17" s="14">
        <f t="shared" si="7"/>
        <v>140</v>
      </c>
      <c r="G17">
        <v>5</v>
      </c>
      <c r="H17">
        <f t="shared" si="8"/>
        <v>145</v>
      </c>
      <c r="I17">
        <f t="shared" si="6"/>
        <v>40</v>
      </c>
      <c r="J17">
        <v>40</v>
      </c>
      <c r="K17" s="15">
        <f t="shared" si="3"/>
        <v>0</v>
      </c>
    </row>
    <row r="18" spans="1:11" x14ac:dyDescent="0.25">
      <c r="A18">
        <f t="shared" si="1"/>
        <v>3.2000000000000006</v>
      </c>
      <c r="B18" s="2">
        <f t="shared" si="2"/>
        <v>35.6</v>
      </c>
      <c r="C18" s="2">
        <f t="shared" si="0"/>
        <v>0</v>
      </c>
      <c r="F18" s="14">
        <f t="shared" si="7"/>
        <v>145</v>
      </c>
      <c r="G18">
        <v>5</v>
      </c>
      <c r="H18">
        <f t="shared" si="8"/>
        <v>150</v>
      </c>
      <c r="I18">
        <f t="shared" si="6"/>
        <v>40</v>
      </c>
      <c r="J18">
        <v>35.6</v>
      </c>
      <c r="K18" s="15">
        <f t="shared" si="3"/>
        <v>-0.87999999999999967</v>
      </c>
    </row>
    <row r="19" spans="1:11" x14ac:dyDescent="0.25">
      <c r="A19">
        <f t="shared" si="1"/>
        <v>3.4000000000000008</v>
      </c>
      <c r="B19" s="2">
        <f t="shared" si="2"/>
        <v>35.6</v>
      </c>
      <c r="C19" s="2">
        <f t="shared" si="0"/>
        <v>0</v>
      </c>
      <c r="F19" s="14">
        <f t="shared" si="7"/>
        <v>150</v>
      </c>
      <c r="G19">
        <v>10</v>
      </c>
      <c r="H19">
        <f t="shared" si="8"/>
        <v>160</v>
      </c>
      <c r="I19">
        <f t="shared" si="6"/>
        <v>35.6</v>
      </c>
      <c r="J19">
        <v>35.6</v>
      </c>
      <c r="K19" s="15">
        <f t="shared" si="3"/>
        <v>0</v>
      </c>
    </row>
    <row r="20" spans="1:11" x14ac:dyDescent="0.25">
      <c r="A20">
        <f t="shared" si="1"/>
        <v>3.600000000000001</v>
      </c>
      <c r="B20" s="2">
        <f t="shared" si="2"/>
        <v>35.6</v>
      </c>
      <c r="C20" s="2">
        <f t="shared" si="0"/>
        <v>0</v>
      </c>
      <c r="F20" s="14">
        <f t="shared" si="7"/>
        <v>160</v>
      </c>
      <c r="G20">
        <v>5</v>
      </c>
      <c r="H20">
        <f t="shared" si="8"/>
        <v>165</v>
      </c>
      <c r="I20">
        <f t="shared" si="6"/>
        <v>35.6</v>
      </c>
      <c r="J20">
        <v>50</v>
      </c>
      <c r="K20" s="15">
        <f t="shared" si="3"/>
        <v>2.88</v>
      </c>
    </row>
    <row r="21" spans="1:11" x14ac:dyDescent="0.25">
      <c r="A21">
        <f t="shared" si="1"/>
        <v>3.8000000000000012</v>
      </c>
      <c r="B21" s="2">
        <f t="shared" si="2"/>
        <v>35.6</v>
      </c>
      <c r="C21" s="2">
        <f t="shared" si="0"/>
        <v>0</v>
      </c>
      <c r="F21" s="14">
        <f t="shared" si="7"/>
        <v>165</v>
      </c>
      <c r="G21">
        <v>5</v>
      </c>
      <c r="H21">
        <f t="shared" si="8"/>
        <v>170</v>
      </c>
      <c r="I21">
        <f t="shared" si="6"/>
        <v>50</v>
      </c>
      <c r="J21">
        <v>50</v>
      </c>
      <c r="K21" s="15">
        <f t="shared" si="3"/>
        <v>0</v>
      </c>
    </row>
    <row r="22" spans="1:11" x14ac:dyDescent="0.25">
      <c r="A22">
        <f t="shared" si="1"/>
        <v>4.0000000000000009</v>
      </c>
      <c r="B22" s="2">
        <f t="shared" si="2"/>
        <v>35.6</v>
      </c>
      <c r="C22" s="2">
        <f t="shared" si="0"/>
        <v>0</v>
      </c>
      <c r="F22" s="14">
        <f t="shared" si="7"/>
        <v>170</v>
      </c>
      <c r="G22">
        <v>5</v>
      </c>
      <c r="H22">
        <f t="shared" si="8"/>
        <v>175</v>
      </c>
      <c r="I22">
        <f t="shared" si="6"/>
        <v>50</v>
      </c>
      <c r="J22">
        <v>35.6</v>
      </c>
      <c r="K22" s="15">
        <f t="shared" si="3"/>
        <v>-2.88</v>
      </c>
    </row>
    <row r="23" spans="1:11" x14ac:dyDescent="0.25">
      <c r="A23">
        <f t="shared" si="1"/>
        <v>4.2000000000000011</v>
      </c>
      <c r="B23" s="2">
        <f t="shared" si="2"/>
        <v>35.6</v>
      </c>
      <c r="C23" s="2">
        <f t="shared" si="0"/>
        <v>0</v>
      </c>
      <c r="F23" s="14">
        <f t="shared" si="7"/>
        <v>175</v>
      </c>
      <c r="G23">
        <v>10</v>
      </c>
      <c r="H23">
        <f t="shared" si="8"/>
        <v>185</v>
      </c>
      <c r="I23">
        <f t="shared" si="6"/>
        <v>35.6</v>
      </c>
      <c r="J23">
        <v>35.6</v>
      </c>
      <c r="K23" s="15">
        <f t="shared" si="3"/>
        <v>0</v>
      </c>
    </row>
    <row r="24" spans="1:11" x14ac:dyDescent="0.25">
      <c r="A24">
        <f t="shared" si="1"/>
        <v>4.4000000000000012</v>
      </c>
      <c r="B24" s="2">
        <f t="shared" si="2"/>
        <v>35.6</v>
      </c>
      <c r="C24" s="2">
        <f t="shared" si="0"/>
        <v>0</v>
      </c>
      <c r="F24" s="14">
        <f t="shared" si="7"/>
        <v>185</v>
      </c>
      <c r="G24">
        <v>5</v>
      </c>
      <c r="H24">
        <f t="shared" si="8"/>
        <v>190</v>
      </c>
      <c r="I24">
        <f t="shared" si="6"/>
        <v>35.6</v>
      </c>
      <c r="J24">
        <v>60</v>
      </c>
      <c r="K24" s="15">
        <f t="shared" si="3"/>
        <v>4.88</v>
      </c>
    </row>
    <row r="25" spans="1:11" x14ac:dyDescent="0.25">
      <c r="A25">
        <f t="shared" si="1"/>
        <v>4.6000000000000014</v>
      </c>
      <c r="B25" s="2">
        <f t="shared" si="2"/>
        <v>35.6</v>
      </c>
      <c r="C25" s="2">
        <f t="shared" si="0"/>
        <v>0</v>
      </c>
      <c r="F25" s="14">
        <f t="shared" si="7"/>
        <v>190</v>
      </c>
      <c r="G25">
        <v>5</v>
      </c>
      <c r="H25">
        <f t="shared" si="8"/>
        <v>195</v>
      </c>
      <c r="I25">
        <f t="shared" si="6"/>
        <v>60</v>
      </c>
      <c r="J25">
        <v>60</v>
      </c>
      <c r="K25" s="15">
        <f t="shared" si="3"/>
        <v>0</v>
      </c>
    </row>
    <row r="26" spans="1:11" x14ac:dyDescent="0.25">
      <c r="A26">
        <f t="shared" si="1"/>
        <v>4.8000000000000016</v>
      </c>
      <c r="B26" s="2">
        <f t="shared" si="2"/>
        <v>35.6</v>
      </c>
      <c r="C26" s="2">
        <f t="shared" si="0"/>
        <v>0</v>
      </c>
      <c r="F26" s="14">
        <f t="shared" si="7"/>
        <v>195</v>
      </c>
      <c r="G26">
        <v>5</v>
      </c>
      <c r="H26">
        <f t="shared" si="8"/>
        <v>200</v>
      </c>
      <c r="I26">
        <f t="shared" si="6"/>
        <v>60</v>
      </c>
      <c r="J26">
        <v>35.6</v>
      </c>
      <c r="K26" s="15">
        <f t="shared" si="3"/>
        <v>-4.88</v>
      </c>
    </row>
    <row r="27" spans="1:11" ht="15.75" thickBot="1" x14ac:dyDescent="0.3">
      <c r="A27">
        <f t="shared" si="1"/>
        <v>5.0000000000000018</v>
      </c>
      <c r="B27" s="2">
        <f t="shared" si="2"/>
        <v>35.6</v>
      </c>
      <c r="C27" s="2">
        <f t="shared" si="0"/>
        <v>0</v>
      </c>
      <c r="F27" s="16">
        <f t="shared" ref="F27:F33" si="9">H26</f>
        <v>200</v>
      </c>
      <c r="G27" s="17">
        <v>10</v>
      </c>
      <c r="H27" s="17">
        <f t="shared" ref="H27:H33" si="10">F27+G27</f>
        <v>210</v>
      </c>
      <c r="I27" s="17">
        <f t="shared" si="6"/>
        <v>35.6</v>
      </c>
      <c r="J27" s="17">
        <v>35.6</v>
      </c>
      <c r="K27" s="18">
        <f t="shared" ref="K27:K33" si="11">(J27-I27)/G27</f>
        <v>0</v>
      </c>
    </row>
    <row r="28" spans="1:11" x14ac:dyDescent="0.25">
      <c r="A28">
        <f t="shared" si="1"/>
        <v>5.200000000000002</v>
      </c>
      <c r="B28" s="2">
        <f t="shared" si="2"/>
        <v>35.6</v>
      </c>
      <c r="C28" s="2">
        <f t="shared" si="0"/>
        <v>0</v>
      </c>
      <c r="F28" s="11">
        <f t="shared" si="9"/>
        <v>210</v>
      </c>
      <c r="G28" s="12">
        <v>15</v>
      </c>
      <c r="H28" s="12">
        <f t="shared" si="10"/>
        <v>225</v>
      </c>
      <c r="I28" s="12">
        <f t="shared" si="6"/>
        <v>35.6</v>
      </c>
      <c r="J28" s="12">
        <v>40</v>
      </c>
      <c r="K28" s="13">
        <f t="shared" si="11"/>
        <v>0.29333333333333322</v>
      </c>
    </row>
    <row r="29" spans="1:11" x14ac:dyDescent="0.25">
      <c r="A29">
        <f t="shared" si="1"/>
        <v>5.4000000000000021</v>
      </c>
      <c r="B29" s="2">
        <f t="shared" si="2"/>
        <v>35.6</v>
      </c>
      <c r="C29" s="2">
        <f t="shared" si="0"/>
        <v>0</v>
      </c>
      <c r="F29" s="14">
        <f t="shared" si="9"/>
        <v>225</v>
      </c>
      <c r="G29">
        <v>5</v>
      </c>
      <c r="H29">
        <f t="shared" si="10"/>
        <v>230</v>
      </c>
      <c r="I29">
        <f t="shared" si="6"/>
        <v>40</v>
      </c>
      <c r="J29">
        <v>40</v>
      </c>
      <c r="K29" s="15">
        <f t="shared" si="11"/>
        <v>0</v>
      </c>
    </row>
    <row r="30" spans="1:11" x14ac:dyDescent="0.25">
      <c r="A30">
        <f t="shared" si="1"/>
        <v>5.6000000000000023</v>
      </c>
      <c r="B30" s="2">
        <f t="shared" si="2"/>
        <v>35.6</v>
      </c>
      <c r="C30" s="2">
        <f t="shared" si="0"/>
        <v>0</v>
      </c>
      <c r="F30" s="14">
        <f t="shared" si="9"/>
        <v>230</v>
      </c>
      <c r="G30">
        <v>15</v>
      </c>
      <c r="H30">
        <f t="shared" si="10"/>
        <v>245</v>
      </c>
      <c r="I30">
        <f t="shared" si="6"/>
        <v>40</v>
      </c>
      <c r="J30">
        <v>35.6</v>
      </c>
      <c r="K30" s="15">
        <f t="shared" si="11"/>
        <v>-0.29333333333333322</v>
      </c>
    </row>
    <row r="31" spans="1:11" x14ac:dyDescent="0.25">
      <c r="A31">
        <f t="shared" si="1"/>
        <v>5.8000000000000025</v>
      </c>
      <c r="B31" s="2">
        <f t="shared" si="2"/>
        <v>35.6</v>
      </c>
      <c r="C31" s="2">
        <f t="shared" si="0"/>
        <v>0</v>
      </c>
      <c r="F31" s="14">
        <f t="shared" si="9"/>
        <v>245</v>
      </c>
      <c r="G31">
        <v>10</v>
      </c>
      <c r="H31">
        <f t="shared" si="10"/>
        <v>255</v>
      </c>
      <c r="I31">
        <f t="shared" si="6"/>
        <v>35.6</v>
      </c>
      <c r="J31">
        <v>35.6</v>
      </c>
      <c r="K31" s="15">
        <f t="shared" si="11"/>
        <v>0</v>
      </c>
    </row>
    <row r="32" spans="1:11" x14ac:dyDescent="0.25">
      <c r="A32">
        <f t="shared" si="1"/>
        <v>6.0000000000000027</v>
      </c>
      <c r="B32" s="2">
        <f t="shared" si="2"/>
        <v>35.6</v>
      </c>
      <c r="C32" s="2">
        <f t="shared" si="0"/>
        <v>0</v>
      </c>
      <c r="F32" s="14">
        <f t="shared" si="9"/>
        <v>255</v>
      </c>
      <c r="G32">
        <v>15</v>
      </c>
      <c r="H32">
        <f t="shared" si="10"/>
        <v>270</v>
      </c>
      <c r="I32">
        <f t="shared" si="6"/>
        <v>35.6</v>
      </c>
      <c r="J32">
        <v>50</v>
      </c>
      <c r="K32" s="15">
        <f t="shared" si="11"/>
        <v>0.95999999999999985</v>
      </c>
    </row>
    <row r="33" spans="1:11" x14ac:dyDescent="0.25">
      <c r="A33">
        <f t="shared" ref="A33:A37" si="12">A32+0.2</f>
        <v>6.2000000000000028</v>
      </c>
      <c r="B33" s="2">
        <f t="shared" si="2"/>
        <v>35.6</v>
      </c>
      <c r="C33" s="2">
        <f t="shared" si="0"/>
        <v>0</v>
      </c>
      <c r="F33" s="14">
        <f t="shared" si="9"/>
        <v>270</v>
      </c>
      <c r="G33">
        <v>5</v>
      </c>
      <c r="H33">
        <f t="shared" si="10"/>
        <v>275</v>
      </c>
      <c r="I33">
        <f t="shared" si="6"/>
        <v>50</v>
      </c>
      <c r="J33">
        <v>50</v>
      </c>
      <c r="K33" s="15">
        <f t="shared" si="11"/>
        <v>0</v>
      </c>
    </row>
    <row r="34" spans="1:11" x14ac:dyDescent="0.25">
      <c r="A34">
        <f t="shared" si="12"/>
        <v>6.400000000000003</v>
      </c>
      <c r="B34" s="2">
        <f t="shared" si="2"/>
        <v>35.6</v>
      </c>
      <c r="C34" s="2">
        <f t="shared" si="0"/>
        <v>0</v>
      </c>
      <c r="F34" s="14">
        <f t="shared" ref="F34:F36" si="13">H33</f>
        <v>275</v>
      </c>
      <c r="G34">
        <v>15</v>
      </c>
      <c r="H34">
        <f t="shared" ref="H34:H36" si="14">F34+G34</f>
        <v>290</v>
      </c>
      <c r="I34">
        <f t="shared" si="6"/>
        <v>50</v>
      </c>
      <c r="J34">
        <v>35.6</v>
      </c>
      <c r="K34" s="15">
        <f t="shared" ref="K34:K36" si="15">(J34-I34)/G34</f>
        <v>-0.95999999999999985</v>
      </c>
    </row>
    <row r="35" spans="1:11" x14ac:dyDescent="0.25">
      <c r="A35">
        <f t="shared" si="12"/>
        <v>6.6000000000000032</v>
      </c>
      <c r="B35" s="2">
        <f t="shared" si="2"/>
        <v>35.6</v>
      </c>
      <c r="C35" s="2">
        <f t="shared" si="0"/>
        <v>0</v>
      </c>
      <c r="F35" s="14">
        <f t="shared" si="13"/>
        <v>290</v>
      </c>
      <c r="G35">
        <v>10</v>
      </c>
      <c r="H35">
        <f t="shared" si="14"/>
        <v>300</v>
      </c>
      <c r="I35">
        <f t="shared" si="6"/>
        <v>35.6</v>
      </c>
      <c r="J35">
        <v>35.6</v>
      </c>
      <c r="K35" s="15">
        <f t="shared" si="15"/>
        <v>0</v>
      </c>
    </row>
    <row r="36" spans="1:11" x14ac:dyDescent="0.25">
      <c r="A36">
        <f t="shared" si="12"/>
        <v>6.8000000000000034</v>
      </c>
      <c r="B36" s="2">
        <f t="shared" si="2"/>
        <v>35.6</v>
      </c>
      <c r="C36" s="2">
        <f t="shared" si="0"/>
        <v>0</v>
      </c>
      <c r="F36" s="14">
        <f t="shared" si="13"/>
        <v>300</v>
      </c>
      <c r="G36">
        <v>15</v>
      </c>
      <c r="H36">
        <f t="shared" si="14"/>
        <v>315</v>
      </c>
      <c r="I36">
        <f t="shared" si="6"/>
        <v>35.6</v>
      </c>
      <c r="J36">
        <v>60</v>
      </c>
      <c r="K36" s="15">
        <f t="shared" si="15"/>
        <v>1.6266666666666665</v>
      </c>
    </row>
    <row r="37" spans="1:11" x14ac:dyDescent="0.25">
      <c r="A37">
        <f t="shared" si="12"/>
        <v>7.0000000000000036</v>
      </c>
      <c r="B37" s="2">
        <f t="shared" si="2"/>
        <v>35.6</v>
      </c>
      <c r="C37" s="2">
        <f t="shared" si="0"/>
        <v>0</v>
      </c>
      <c r="F37" s="14">
        <f t="shared" ref="F37:F40" si="16">H36</f>
        <v>315</v>
      </c>
      <c r="G37">
        <v>5</v>
      </c>
      <c r="H37">
        <f t="shared" ref="H37:H40" si="17">F37+G37</f>
        <v>320</v>
      </c>
      <c r="I37">
        <f t="shared" si="6"/>
        <v>60</v>
      </c>
      <c r="J37">
        <v>60</v>
      </c>
      <c r="K37" s="15">
        <f t="shared" ref="K37:K40" si="18">(J37-I37)/G37</f>
        <v>0</v>
      </c>
    </row>
    <row r="38" spans="1:11" x14ac:dyDescent="0.25">
      <c r="A38">
        <f t="shared" ref="A38:A46" si="19">A37+0.2</f>
        <v>7.2000000000000037</v>
      </c>
      <c r="B38" s="2">
        <f t="shared" si="2"/>
        <v>35.6</v>
      </c>
      <c r="C38" s="2">
        <f t="shared" si="0"/>
        <v>0</v>
      </c>
      <c r="F38" s="14">
        <f t="shared" si="16"/>
        <v>320</v>
      </c>
      <c r="G38">
        <v>15</v>
      </c>
      <c r="H38">
        <f t="shared" si="17"/>
        <v>335</v>
      </c>
      <c r="I38">
        <f t="shared" si="6"/>
        <v>60</v>
      </c>
      <c r="J38">
        <v>35.6</v>
      </c>
      <c r="K38" s="15">
        <f t="shared" si="18"/>
        <v>-1.6266666666666665</v>
      </c>
    </row>
    <row r="39" spans="1:11" ht="15.75" thickBot="1" x14ac:dyDescent="0.3">
      <c r="A39">
        <f t="shared" si="19"/>
        <v>7.4000000000000039</v>
      </c>
      <c r="B39" s="2">
        <f t="shared" si="2"/>
        <v>35.6</v>
      </c>
      <c r="C39" s="2">
        <f t="shared" si="0"/>
        <v>0</v>
      </c>
      <c r="F39" s="16">
        <f t="shared" si="16"/>
        <v>335</v>
      </c>
      <c r="G39" s="17">
        <v>10</v>
      </c>
      <c r="H39" s="17">
        <f t="shared" si="17"/>
        <v>345</v>
      </c>
      <c r="I39" s="17">
        <f t="shared" si="6"/>
        <v>35.6</v>
      </c>
      <c r="J39" s="17">
        <v>35.6</v>
      </c>
      <c r="K39" s="18">
        <f t="shared" si="18"/>
        <v>0</v>
      </c>
    </row>
    <row r="40" spans="1:11" x14ac:dyDescent="0.25">
      <c r="A40">
        <f t="shared" si="19"/>
        <v>7.6000000000000041</v>
      </c>
      <c r="B40" s="2">
        <f t="shared" si="2"/>
        <v>35.6</v>
      </c>
      <c r="C40" s="2">
        <f t="shared" si="0"/>
        <v>0</v>
      </c>
      <c r="F40">
        <f t="shared" si="16"/>
        <v>345</v>
      </c>
      <c r="G40">
        <v>15</v>
      </c>
      <c r="H40">
        <f t="shared" si="17"/>
        <v>360</v>
      </c>
      <c r="I40">
        <f t="shared" si="6"/>
        <v>35.6</v>
      </c>
      <c r="J40">
        <v>35.6</v>
      </c>
      <c r="K40">
        <f t="shared" si="18"/>
        <v>0</v>
      </c>
    </row>
    <row r="41" spans="1:11" x14ac:dyDescent="0.25">
      <c r="A41">
        <f t="shared" si="19"/>
        <v>7.8000000000000043</v>
      </c>
      <c r="B41" s="2">
        <f t="shared" si="2"/>
        <v>35.6</v>
      </c>
      <c r="C41" s="2">
        <f t="shared" si="0"/>
        <v>0</v>
      </c>
    </row>
    <row r="42" spans="1:11" x14ac:dyDescent="0.25">
      <c r="A42">
        <f t="shared" si="19"/>
        <v>8.0000000000000036</v>
      </c>
      <c r="B42" s="2">
        <f t="shared" si="2"/>
        <v>35.6</v>
      </c>
      <c r="C42" s="2">
        <f t="shared" si="0"/>
        <v>0</v>
      </c>
    </row>
    <row r="43" spans="1:11" x14ac:dyDescent="0.25">
      <c r="A43">
        <f t="shared" si="19"/>
        <v>8.2000000000000028</v>
      </c>
      <c r="B43" s="2">
        <f t="shared" si="2"/>
        <v>35.6</v>
      </c>
      <c r="C43" s="2">
        <f t="shared" si="0"/>
        <v>0</v>
      </c>
    </row>
    <row r="44" spans="1:11" x14ac:dyDescent="0.25">
      <c r="A44">
        <f t="shared" si="19"/>
        <v>8.4000000000000021</v>
      </c>
      <c r="B44" s="2">
        <f t="shared" si="2"/>
        <v>35.6</v>
      </c>
      <c r="C44" s="2">
        <f t="shared" si="0"/>
        <v>0</v>
      </c>
    </row>
    <row r="45" spans="1:11" x14ac:dyDescent="0.25">
      <c r="A45">
        <f t="shared" si="19"/>
        <v>8.6000000000000014</v>
      </c>
      <c r="B45" s="2">
        <f t="shared" si="2"/>
        <v>35.6</v>
      </c>
      <c r="C45" s="2">
        <f t="shared" si="0"/>
        <v>0</v>
      </c>
    </row>
    <row r="46" spans="1:11" x14ac:dyDescent="0.25">
      <c r="A46">
        <f t="shared" si="19"/>
        <v>8.8000000000000007</v>
      </c>
      <c r="B46" s="2">
        <f t="shared" si="2"/>
        <v>35.6</v>
      </c>
      <c r="C46" s="2">
        <f t="shared" si="0"/>
        <v>0</v>
      </c>
    </row>
    <row r="47" spans="1:11" x14ac:dyDescent="0.25">
      <c r="A47">
        <f t="shared" ref="A47:A110" si="20">A46+0.2</f>
        <v>9</v>
      </c>
      <c r="B47" s="2">
        <f t="shared" si="2"/>
        <v>35.6</v>
      </c>
      <c r="C47" s="2">
        <f t="shared" si="0"/>
        <v>0</v>
      </c>
    </row>
    <row r="48" spans="1:11" x14ac:dyDescent="0.25">
      <c r="A48">
        <f t="shared" si="20"/>
        <v>9.1999999999999993</v>
      </c>
      <c r="B48" s="2">
        <f t="shared" si="2"/>
        <v>35.6</v>
      </c>
      <c r="C48" s="2">
        <f t="shared" si="0"/>
        <v>0</v>
      </c>
    </row>
    <row r="49" spans="1:3" x14ac:dyDescent="0.25">
      <c r="A49">
        <f t="shared" si="20"/>
        <v>9.3999999999999986</v>
      </c>
      <c r="B49" s="2">
        <f t="shared" si="2"/>
        <v>35.6</v>
      </c>
      <c r="C49" s="2">
        <f t="shared" si="0"/>
        <v>0</v>
      </c>
    </row>
    <row r="50" spans="1:3" x14ac:dyDescent="0.25">
      <c r="A50">
        <f t="shared" si="20"/>
        <v>9.5999999999999979</v>
      </c>
      <c r="B50" s="2">
        <f t="shared" si="2"/>
        <v>35.6</v>
      </c>
      <c r="C50" s="2">
        <f t="shared" si="0"/>
        <v>0</v>
      </c>
    </row>
    <row r="51" spans="1:3" x14ac:dyDescent="0.25">
      <c r="A51">
        <f t="shared" si="20"/>
        <v>9.7999999999999972</v>
      </c>
      <c r="B51" s="2">
        <f t="shared" si="2"/>
        <v>35.6</v>
      </c>
      <c r="C51" s="2">
        <f t="shared" si="0"/>
        <v>0</v>
      </c>
    </row>
    <row r="52" spans="1:3" x14ac:dyDescent="0.25">
      <c r="A52">
        <f t="shared" si="20"/>
        <v>9.9999999999999964</v>
      </c>
      <c r="B52" s="2">
        <f t="shared" si="2"/>
        <v>35.6</v>
      </c>
      <c r="C52" s="2">
        <f t="shared" si="0"/>
        <v>0</v>
      </c>
    </row>
    <row r="53" spans="1:3" x14ac:dyDescent="0.25">
      <c r="A53">
        <f t="shared" si="20"/>
        <v>10.199999999999996</v>
      </c>
      <c r="B53" s="2">
        <f t="shared" si="2"/>
        <v>35.6</v>
      </c>
      <c r="C53" s="2">
        <f t="shared" si="0"/>
        <v>0</v>
      </c>
    </row>
    <row r="54" spans="1:3" x14ac:dyDescent="0.25">
      <c r="A54">
        <f t="shared" si="20"/>
        <v>10.399999999999995</v>
      </c>
      <c r="B54" s="2">
        <f t="shared" si="2"/>
        <v>35.6</v>
      </c>
      <c r="C54" s="2">
        <f t="shared" si="0"/>
        <v>0</v>
      </c>
    </row>
    <row r="55" spans="1:3" x14ac:dyDescent="0.25">
      <c r="A55">
        <f t="shared" si="20"/>
        <v>10.599999999999994</v>
      </c>
      <c r="B55" s="2">
        <f t="shared" si="2"/>
        <v>35.6</v>
      </c>
      <c r="C55" s="2">
        <f t="shared" si="0"/>
        <v>0</v>
      </c>
    </row>
    <row r="56" spans="1:3" x14ac:dyDescent="0.25">
      <c r="A56">
        <f t="shared" si="20"/>
        <v>10.799999999999994</v>
      </c>
      <c r="B56" s="2">
        <f t="shared" si="2"/>
        <v>35.6</v>
      </c>
      <c r="C56" s="2">
        <f t="shared" si="0"/>
        <v>0</v>
      </c>
    </row>
    <row r="57" spans="1:3" x14ac:dyDescent="0.25">
      <c r="A57">
        <f t="shared" si="20"/>
        <v>10.999999999999993</v>
      </c>
      <c r="B57" s="2">
        <f t="shared" si="2"/>
        <v>35.6</v>
      </c>
      <c r="C57" s="2">
        <f t="shared" si="0"/>
        <v>0</v>
      </c>
    </row>
    <row r="58" spans="1:3" x14ac:dyDescent="0.25">
      <c r="A58">
        <f t="shared" si="20"/>
        <v>11.199999999999992</v>
      </c>
      <c r="B58" s="2">
        <f t="shared" si="2"/>
        <v>35.6</v>
      </c>
      <c r="C58" s="2">
        <f t="shared" si="0"/>
        <v>0</v>
      </c>
    </row>
    <row r="59" spans="1:3" x14ac:dyDescent="0.25">
      <c r="A59">
        <f t="shared" si="20"/>
        <v>11.399999999999991</v>
      </c>
      <c r="B59" s="2">
        <f t="shared" si="2"/>
        <v>35.6</v>
      </c>
      <c r="C59" s="2">
        <f t="shared" si="0"/>
        <v>0</v>
      </c>
    </row>
    <row r="60" spans="1:3" x14ac:dyDescent="0.25">
      <c r="A60">
        <f t="shared" si="20"/>
        <v>11.599999999999991</v>
      </c>
      <c r="B60" s="2">
        <f t="shared" si="2"/>
        <v>35.6</v>
      </c>
      <c r="C60" s="2">
        <f t="shared" si="0"/>
        <v>0</v>
      </c>
    </row>
    <row r="61" spans="1:3" x14ac:dyDescent="0.25">
      <c r="A61">
        <f t="shared" si="20"/>
        <v>11.79999999999999</v>
      </c>
      <c r="B61" s="2">
        <f t="shared" si="2"/>
        <v>35.6</v>
      </c>
      <c r="C61" s="2">
        <f t="shared" si="0"/>
        <v>0</v>
      </c>
    </row>
    <row r="62" spans="1:3" x14ac:dyDescent="0.25">
      <c r="A62">
        <f t="shared" si="20"/>
        <v>11.999999999999989</v>
      </c>
      <c r="B62" s="2">
        <f t="shared" si="2"/>
        <v>35.6</v>
      </c>
      <c r="C62" s="2">
        <f t="shared" si="0"/>
        <v>0</v>
      </c>
    </row>
    <row r="63" spans="1:3" x14ac:dyDescent="0.25">
      <c r="A63">
        <f t="shared" si="20"/>
        <v>12.199999999999989</v>
      </c>
      <c r="B63" s="2">
        <f t="shared" si="2"/>
        <v>35.6</v>
      </c>
      <c r="C63" s="2">
        <f t="shared" si="0"/>
        <v>0</v>
      </c>
    </row>
    <row r="64" spans="1:3" x14ac:dyDescent="0.25">
      <c r="A64">
        <f t="shared" si="20"/>
        <v>12.399999999999988</v>
      </c>
      <c r="B64" s="2">
        <f t="shared" si="2"/>
        <v>35.6</v>
      </c>
      <c r="C64" s="2">
        <f t="shared" si="0"/>
        <v>0</v>
      </c>
    </row>
    <row r="65" spans="1:3" x14ac:dyDescent="0.25">
      <c r="A65">
        <f t="shared" si="20"/>
        <v>12.599999999999987</v>
      </c>
      <c r="B65" s="2">
        <f t="shared" si="2"/>
        <v>35.6</v>
      </c>
      <c r="C65" s="2">
        <f t="shared" si="0"/>
        <v>0</v>
      </c>
    </row>
    <row r="66" spans="1:3" x14ac:dyDescent="0.25">
      <c r="A66">
        <f t="shared" si="20"/>
        <v>12.799999999999986</v>
      </c>
      <c r="B66" s="2">
        <f t="shared" si="2"/>
        <v>35.6</v>
      </c>
      <c r="C66" s="2">
        <f t="shared" si="0"/>
        <v>0</v>
      </c>
    </row>
    <row r="67" spans="1:3" x14ac:dyDescent="0.25">
      <c r="A67">
        <f t="shared" si="20"/>
        <v>12.999999999999986</v>
      </c>
      <c r="B67" s="2">
        <f t="shared" si="2"/>
        <v>35.6</v>
      </c>
      <c r="C67" s="2">
        <f t="shared" ref="C67:C130" si="21">INDEX($K$3:$K$40,MATCH(A67,$H$2:$H$40,1))</f>
        <v>0</v>
      </c>
    </row>
    <row r="68" spans="1:3" x14ac:dyDescent="0.25">
      <c r="A68">
        <f t="shared" si="20"/>
        <v>13.199999999999985</v>
      </c>
      <c r="B68" s="2">
        <f t="shared" ref="B68:B131" si="22">B67+C67</f>
        <v>35.6</v>
      </c>
      <c r="C68" s="2">
        <f t="shared" si="21"/>
        <v>0</v>
      </c>
    </row>
    <row r="69" spans="1:3" x14ac:dyDescent="0.25">
      <c r="A69">
        <f t="shared" si="20"/>
        <v>13.399999999999984</v>
      </c>
      <c r="B69" s="2">
        <f t="shared" si="22"/>
        <v>35.6</v>
      </c>
      <c r="C69" s="2">
        <f t="shared" si="21"/>
        <v>0</v>
      </c>
    </row>
    <row r="70" spans="1:3" x14ac:dyDescent="0.25">
      <c r="A70">
        <f t="shared" si="20"/>
        <v>13.599999999999984</v>
      </c>
      <c r="B70" s="2">
        <f t="shared" si="22"/>
        <v>35.6</v>
      </c>
      <c r="C70" s="2">
        <f t="shared" si="21"/>
        <v>0</v>
      </c>
    </row>
    <row r="71" spans="1:3" x14ac:dyDescent="0.25">
      <c r="A71">
        <f t="shared" si="20"/>
        <v>13.799999999999983</v>
      </c>
      <c r="B71" s="2">
        <f t="shared" si="22"/>
        <v>35.6</v>
      </c>
      <c r="C71" s="2">
        <f t="shared" si="21"/>
        <v>0</v>
      </c>
    </row>
    <row r="72" spans="1:3" x14ac:dyDescent="0.25">
      <c r="A72">
        <f t="shared" si="20"/>
        <v>13.999999999999982</v>
      </c>
      <c r="B72" s="2">
        <f t="shared" si="22"/>
        <v>35.6</v>
      </c>
      <c r="C72" s="2">
        <f t="shared" si="21"/>
        <v>0</v>
      </c>
    </row>
    <row r="73" spans="1:3" x14ac:dyDescent="0.25">
      <c r="A73">
        <f t="shared" si="20"/>
        <v>14.199999999999982</v>
      </c>
      <c r="B73" s="2">
        <f t="shared" si="22"/>
        <v>35.6</v>
      </c>
      <c r="C73" s="2">
        <f t="shared" si="21"/>
        <v>0</v>
      </c>
    </row>
    <row r="74" spans="1:3" x14ac:dyDescent="0.25">
      <c r="A74">
        <f t="shared" si="20"/>
        <v>14.399999999999981</v>
      </c>
      <c r="B74" s="2">
        <f t="shared" si="22"/>
        <v>35.6</v>
      </c>
      <c r="C74" s="2">
        <f t="shared" si="21"/>
        <v>0</v>
      </c>
    </row>
    <row r="75" spans="1:3" x14ac:dyDescent="0.25">
      <c r="A75">
        <f t="shared" si="20"/>
        <v>14.59999999999998</v>
      </c>
      <c r="B75" s="2">
        <f t="shared" si="22"/>
        <v>35.6</v>
      </c>
      <c r="C75" s="2">
        <f t="shared" si="21"/>
        <v>0</v>
      </c>
    </row>
    <row r="76" spans="1:3" x14ac:dyDescent="0.25">
      <c r="A76">
        <f t="shared" si="20"/>
        <v>14.799999999999979</v>
      </c>
      <c r="B76" s="2">
        <f t="shared" si="22"/>
        <v>35.6</v>
      </c>
      <c r="C76" s="2">
        <f t="shared" si="21"/>
        <v>0</v>
      </c>
    </row>
    <row r="77" spans="1:3" x14ac:dyDescent="0.25">
      <c r="A77">
        <f t="shared" si="20"/>
        <v>14.999999999999979</v>
      </c>
      <c r="B77" s="2">
        <f t="shared" si="22"/>
        <v>35.6</v>
      </c>
      <c r="C77" s="2">
        <f t="shared" si="21"/>
        <v>0</v>
      </c>
    </row>
    <row r="78" spans="1:3" x14ac:dyDescent="0.25">
      <c r="A78">
        <f t="shared" si="20"/>
        <v>15.199999999999978</v>
      </c>
      <c r="B78" s="2">
        <f t="shared" si="22"/>
        <v>35.6</v>
      </c>
      <c r="C78" s="2">
        <f t="shared" si="21"/>
        <v>0</v>
      </c>
    </row>
    <row r="79" spans="1:3" x14ac:dyDescent="0.25">
      <c r="A79">
        <f t="shared" si="20"/>
        <v>15.399999999999977</v>
      </c>
      <c r="B79" s="2">
        <f t="shared" si="22"/>
        <v>35.6</v>
      </c>
      <c r="C79" s="2">
        <f t="shared" si="21"/>
        <v>0</v>
      </c>
    </row>
    <row r="80" spans="1:3" x14ac:dyDescent="0.25">
      <c r="A80">
        <f t="shared" si="20"/>
        <v>15.599999999999977</v>
      </c>
      <c r="B80" s="2">
        <f t="shared" si="22"/>
        <v>35.6</v>
      </c>
      <c r="C80" s="2">
        <f t="shared" si="21"/>
        <v>0</v>
      </c>
    </row>
    <row r="81" spans="1:3" x14ac:dyDescent="0.25">
      <c r="A81">
        <f t="shared" si="20"/>
        <v>15.799999999999976</v>
      </c>
      <c r="B81" s="2">
        <f t="shared" si="22"/>
        <v>35.6</v>
      </c>
      <c r="C81" s="2">
        <f t="shared" si="21"/>
        <v>0</v>
      </c>
    </row>
    <row r="82" spans="1:3" x14ac:dyDescent="0.25">
      <c r="A82">
        <f t="shared" si="20"/>
        <v>15.999999999999975</v>
      </c>
      <c r="B82" s="2">
        <f t="shared" si="22"/>
        <v>35.6</v>
      </c>
      <c r="C82" s="2">
        <f t="shared" si="21"/>
        <v>0</v>
      </c>
    </row>
    <row r="83" spans="1:3" x14ac:dyDescent="0.25">
      <c r="A83">
        <f t="shared" si="20"/>
        <v>16.199999999999974</v>
      </c>
      <c r="B83" s="2">
        <f t="shared" si="22"/>
        <v>35.6</v>
      </c>
      <c r="C83" s="2">
        <f t="shared" si="21"/>
        <v>0</v>
      </c>
    </row>
    <row r="84" spans="1:3" x14ac:dyDescent="0.25">
      <c r="A84">
        <f t="shared" si="20"/>
        <v>16.399999999999974</v>
      </c>
      <c r="B84" s="2">
        <f t="shared" si="22"/>
        <v>35.6</v>
      </c>
      <c r="C84" s="2">
        <f t="shared" si="21"/>
        <v>0</v>
      </c>
    </row>
    <row r="85" spans="1:3" x14ac:dyDescent="0.25">
      <c r="A85">
        <f t="shared" si="20"/>
        <v>16.599999999999973</v>
      </c>
      <c r="B85" s="2">
        <f t="shared" si="22"/>
        <v>35.6</v>
      </c>
      <c r="C85" s="2">
        <f t="shared" si="21"/>
        <v>0</v>
      </c>
    </row>
    <row r="86" spans="1:3" x14ac:dyDescent="0.25">
      <c r="A86">
        <f t="shared" si="20"/>
        <v>16.799999999999972</v>
      </c>
      <c r="B86" s="2">
        <f t="shared" si="22"/>
        <v>35.6</v>
      </c>
      <c r="C86" s="2">
        <f t="shared" si="21"/>
        <v>0</v>
      </c>
    </row>
    <row r="87" spans="1:3" x14ac:dyDescent="0.25">
      <c r="A87">
        <f t="shared" si="20"/>
        <v>16.999999999999972</v>
      </c>
      <c r="B87" s="2">
        <f t="shared" si="22"/>
        <v>35.6</v>
      </c>
      <c r="C87" s="2">
        <f t="shared" si="21"/>
        <v>0</v>
      </c>
    </row>
    <row r="88" spans="1:3" x14ac:dyDescent="0.25">
      <c r="A88">
        <f t="shared" si="20"/>
        <v>17.199999999999971</v>
      </c>
      <c r="B88" s="2">
        <f t="shared" si="22"/>
        <v>35.6</v>
      </c>
      <c r="C88" s="2">
        <f t="shared" si="21"/>
        <v>0</v>
      </c>
    </row>
    <row r="89" spans="1:3" x14ac:dyDescent="0.25">
      <c r="A89">
        <f t="shared" si="20"/>
        <v>17.39999999999997</v>
      </c>
      <c r="B89" s="2">
        <f t="shared" si="22"/>
        <v>35.6</v>
      </c>
      <c r="C89" s="2">
        <f t="shared" si="21"/>
        <v>0</v>
      </c>
    </row>
    <row r="90" spans="1:3" x14ac:dyDescent="0.25">
      <c r="A90">
        <f t="shared" si="20"/>
        <v>17.599999999999969</v>
      </c>
      <c r="B90" s="2">
        <f t="shared" si="22"/>
        <v>35.6</v>
      </c>
      <c r="C90" s="2">
        <f t="shared" si="21"/>
        <v>0</v>
      </c>
    </row>
    <row r="91" spans="1:3" x14ac:dyDescent="0.25">
      <c r="A91">
        <f t="shared" si="20"/>
        <v>17.799999999999969</v>
      </c>
      <c r="B91" s="2">
        <f t="shared" si="22"/>
        <v>35.6</v>
      </c>
      <c r="C91" s="2">
        <f t="shared" si="21"/>
        <v>0</v>
      </c>
    </row>
    <row r="92" spans="1:3" x14ac:dyDescent="0.25">
      <c r="A92">
        <f t="shared" si="20"/>
        <v>17.999999999999968</v>
      </c>
      <c r="B92" s="2">
        <f t="shared" si="22"/>
        <v>35.6</v>
      </c>
      <c r="C92" s="2">
        <f t="shared" si="21"/>
        <v>0</v>
      </c>
    </row>
    <row r="93" spans="1:3" x14ac:dyDescent="0.25">
      <c r="A93">
        <f t="shared" si="20"/>
        <v>18.199999999999967</v>
      </c>
      <c r="B93" s="2">
        <f t="shared" si="22"/>
        <v>35.6</v>
      </c>
      <c r="C93" s="2">
        <f t="shared" si="21"/>
        <v>0</v>
      </c>
    </row>
    <row r="94" spans="1:3" x14ac:dyDescent="0.25">
      <c r="A94">
        <f t="shared" si="20"/>
        <v>18.399999999999967</v>
      </c>
      <c r="B94" s="2">
        <f t="shared" si="22"/>
        <v>35.6</v>
      </c>
      <c r="C94" s="2">
        <f t="shared" si="21"/>
        <v>0</v>
      </c>
    </row>
    <row r="95" spans="1:3" x14ac:dyDescent="0.25">
      <c r="A95">
        <f t="shared" si="20"/>
        <v>18.599999999999966</v>
      </c>
      <c r="B95" s="2">
        <f t="shared" si="22"/>
        <v>35.6</v>
      </c>
      <c r="C95" s="2">
        <f t="shared" si="21"/>
        <v>0</v>
      </c>
    </row>
    <row r="96" spans="1:3" x14ac:dyDescent="0.25">
      <c r="A96">
        <f t="shared" si="20"/>
        <v>18.799999999999965</v>
      </c>
      <c r="B96" s="2">
        <f t="shared" si="22"/>
        <v>35.6</v>
      </c>
      <c r="C96" s="2">
        <f t="shared" si="21"/>
        <v>0</v>
      </c>
    </row>
    <row r="97" spans="1:3" x14ac:dyDescent="0.25">
      <c r="A97">
        <f t="shared" si="20"/>
        <v>18.999999999999964</v>
      </c>
      <c r="B97" s="2">
        <f t="shared" si="22"/>
        <v>35.6</v>
      </c>
      <c r="C97" s="2">
        <f t="shared" si="21"/>
        <v>0</v>
      </c>
    </row>
    <row r="98" spans="1:3" x14ac:dyDescent="0.25">
      <c r="A98">
        <f t="shared" si="20"/>
        <v>19.199999999999964</v>
      </c>
      <c r="B98" s="2">
        <f t="shared" si="22"/>
        <v>35.6</v>
      </c>
      <c r="C98" s="2">
        <f t="shared" si="21"/>
        <v>0</v>
      </c>
    </row>
    <row r="99" spans="1:3" x14ac:dyDescent="0.25">
      <c r="A99">
        <f t="shared" si="20"/>
        <v>19.399999999999963</v>
      </c>
      <c r="B99" s="2">
        <f t="shared" si="22"/>
        <v>35.6</v>
      </c>
      <c r="C99" s="2">
        <f t="shared" si="21"/>
        <v>0</v>
      </c>
    </row>
    <row r="100" spans="1:3" x14ac:dyDescent="0.25">
      <c r="A100">
        <f t="shared" si="20"/>
        <v>19.599999999999962</v>
      </c>
      <c r="B100" s="2">
        <f t="shared" si="22"/>
        <v>35.6</v>
      </c>
      <c r="C100" s="2">
        <f t="shared" si="21"/>
        <v>0</v>
      </c>
    </row>
    <row r="101" spans="1:3" x14ac:dyDescent="0.25">
      <c r="A101">
        <f t="shared" si="20"/>
        <v>19.799999999999962</v>
      </c>
      <c r="B101" s="2">
        <f t="shared" si="22"/>
        <v>35.6</v>
      </c>
      <c r="C101" s="2">
        <f t="shared" si="21"/>
        <v>0</v>
      </c>
    </row>
    <row r="102" spans="1:3" x14ac:dyDescent="0.25">
      <c r="A102">
        <f t="shared" si="20"/>
        <v>19.999999999999961</v>
      </c>
      <c r="B102" s="2">
        <f t="shared" si="22"/>
        <v>35.6</v>
      </c>
      <c r="C102" s="2">
        <f t="shared" si="21"/>
        <v>0</v>
      </c>
    </row>
    <row r="103" spans="1:3" x14ac:dyDescent="0.25">
      <c r="A103">
        <f t="shared" si="20"/>
        <v>20.19999999999996</v>
      </c>
      <c r="B103" s="2">
        <f t="shared" si="22"/>
        <v>35.6</v>
      </c>
      <c r="C103" s="2">
        <f t="shared" si="21"/>
        <v>0</v>
      </c>
    </row>
    <row r="104" spans="1:3" x14ac:dyDescent="0.25">
      <c r="A104">
        <f t="shared" si="20"/>
        <v>20.399999999999959</v>
      </c>
      <c r="B104" s="2">
        <f t="shared" si="22"/>
        <v>35.6</v>
      </c>
      <c r="C104" s="2">
        <f t="shared" si="21"/>
        <v>0</v>
      </c>
    </row>
    <row r="105" spans="1:3" x14ac:dyDescent="0.25">
      <c r="A105">
        <f t="shared" si="20"/>
        <v>20.599999999999959</v>
      </c>
      <c r="B105" s="2">
        <f t="shared" si="22"/>
        <v>35.6</v>
      </c>
      <c r="C105" s="2">
        <f t="shared" si="21"/>
        <v>0</v>
      </c>
    </row>
    <row r="106" spans="1:3" x14ac:dyDescent="0.25">
      <c r="A106">
        <f t="shared" si="20"/>
        <v>20.799999999999958</v>
      </c>
      <c r="B106" s="2">
        <f t="shared" si="22"/>
        <v>35.6</v>
      </c>
      <c r="C106" s="2">
        <f t="shared" si="21"/>
        <v>0</v>
      </c>
    </row>
    <row r="107" spans="1:3" x14ac:dyDescent="0.25">
      <c r="A107">
        <f t="shared" si="20"/>
        <v>20.999999999999957</v>
      </c>
      <c r="B107" s="2">
        <f t="shared" si="22"/>
        <v>35.6</v>
      </c>
      <c r="C107" s="2">
        <f t="shared" si="21"/>
        <v>0</v>
      </c>
    </row>
    <row r="108" spans="1:3" x14ac:dyDescent="0.25">
      <c r="A108">
        <f t="shared" si="20"/>
        <v>21.199999999999957</v>
      </c>
      <c r="B108" s="2">
        <f t="shared" si="22"/>
        <v>35.6</v>
      </c>
      <c r="C108" s="2">
        <f t="shared" si="21"/>
        <v>0</v>
      </c>
    </row>
    <row r="109" spans="1:3" x14ac:dyDescent="0.25">
      <c r="A109">
        <f t="shared" si="20"/>
        <v>21.399999999999956</v>
      </c>
      <c r="B109" s="2">
        <f t="shared" si="22"/>
        <v>35.6</v>
      </c>
      <c r="C109" s="2">
        <f t="shared" si="21"/>
        <v>0</v>
      </c>
    </row>
    <row r="110" spans="1:3" x14ac:dyDescent="0.25">
      <c r="A110">
        <f t="shared" si="20"/>
        <v>21.599999999999955</v>
      </c>
      <c r="B110" s="2">
        <f t="shared" si="22"/>
        <v>35.6</v>
      </c>
      <c r="C110" s="2">
        <f t="shared" si="21"/>
        <v>0</v>
      </c>
    </row>
    <row r="111" spans="1:3" x14ac:dyDescent="0.25">
      <c r="A111">
        <f t="shared" ref="A111:A174" si="23">A110+0.2</f>
        <v>21.799999999999955</v>
      </c>
      <c r="B111" s="2">
        <f t="shared" si="22"/>
        <v>35.6</v>
      </c>
      <c r="C111" s="2">
        <f t="shared" si="21"/>
        <v>0</v>
      </c>
    </row>
    <row r="112" spans="1:3" x14ac:dyDescent="0.25">
      <c r="A112">
        <f t="shared" si="23"/>
        <v>21.999999999999954</v>
      </c>
      <c r="B112" s="2">
        <f t="shared" si="22"/>
        <v>35.6</v>
      </c>
      <c r="C112" s="2">
        <f t="shared" si="21"/>
        <v>0</v>
      </c>
    </row>
    <row r="113" spans="1:3" x14ac:dyDescent="0.25">
      <c r="A113">
        <f t="shared" si="23"/>
        <v>22.199999999999953</v>
      </c>
      <c r="B113" s="2">
        <f t="shared" si="22"/>
        <v>35.6</v>
      </c>
      <c r="C113" s="2">
        <f t="shared" si="21"/>
        <v>0</v>
      </c>
    </row>
    <row r="114" spans="1:3" x14ac:dyDescent="0.25">
      <c r="A114">
        <f t="shared" si="23"/>
        <v>22.399999999999952</v>
      </c>
      <c r="B114" s="2">
        <f t="shared" si="22"/>
        <v>35.6</v>
      </c>
      <c r="C114" s="2">
        <f t="shared" si="21"/>
        <v>0</v>
      </c>
    </row>
    <row r="115" spans="1:3" x14ac:dyDescent="0.25">
      <c r="A115">
        <f t="shared" si="23"/>
        <v>22.599999999999952</v>
      </c>
      <c r="B115" s="2">
        <f t="shared" si="22"/>
        <v>35.6</v>
      </c>
      <c r="C115" s="2">
        <f t="shared" si="21"/>
        <v>0</v>
      </c>
    </row>
    <row r="116" spans="1:3" x14ac:dyDescent="0.25">
      <c r="A116">
        <f t="shared" si="23"/>
        <v>22.799999999999951</v>
      </c>
      <c r="B116" s="2">
        <f t="shared" si="22"/>
        <v>35.6</v>
      </c>
      <c r="C116" s="2">
        <f t="shared" si="21"/>
        <v>0</v>
      </c>
    </row>
    <row r="117" spans="1:3" x14ac:dyDescent="0.25">
      <c r="A117">
        <f t="shared" si="23"/>
        <v>22.99999999999995</v>
      </c>
      <c r="B117" s="2">
        <f t="shared" si="22"/>
        <v>35.6</v>
      </c>
      <c r="C117" s="2">
        <f t="shared" si="21"/>
        <v>0</v>
      </c>
    </row>
    <row r="118" spans="1:3" x14ac:dyDescent="0.25">
      <c r="A118">
        <f t="shared" si="23"/>
        <v>23.19999999999995</v>
      </c>
      <c r="B118" s="2">
        <f t="shared" si="22"/>
        <v>35.6</v>
      </c>
      <c r="C118" s="2">
        <f t="shared" si="21"/>
        <v>0</v>
      </c>
    </row>
    <row r="119" spans="1:3" x14ac:dyDescent="0.25">
      <c r="A119">
        <f t="shared" si="23"/>
        <v>23.399999999999949</v>
      </c>
      <c r="B119" s="2">
        <f t="shared" si="22"/>
        <v>35.6</v>
      </c>
      <c r="C119" s="2">
        <f t="shared" si="21"/>
        <v>0</v>
      </c>
    </row>
    <row r="120" spans="1:3" x14ac:dyDescent="0.25">
      <c r="A120">
        <f t="shared" si="23"/>
        <v>23.599999999999948</v>
      </c>
      <c r="B120" s="2">
        <f t="shared" si="22"/>
        <v>35.6</v>
      </c>
      <c r="C120" s="2">
        <f t="shared" si="21"/>
        <v>0</v>
      </c>
    </row>
    <row r="121" spans="1:3" x14ac:dyDescent="0.25">
      <c r="A121">
        <f t="shared" si="23"/>
        <v>23.799999999999947</v>
      </c>
      <c r="B121" s="2">
        <f t="shared" si="22"/>
        <v>35.6</v>
      </c>
      <c r="C121" s="2">
        <f t="shared" si="21"/>
        <v>0</v>
      </c>
    </row>
    <row r="122" spans="1:3" x14ac:dyDescent="0.25">
      <c r="A122">
        <f t="shared" si="23"/>
        <v>23.999999999999947</v>
      </c>
      <c r="B122" s="2">
        <f t="shared" si="22"/>
        <v>35.6</v>
      </c>
      <c r="C122" s="2">
        <f t="shared" si="21"/>
        <v>0</v>
      </c>
    </row>
    <row r="123" spans="1:3" x14ac:dyDescent="0.25">
      <c r="A123">
        <f t="shared" si="23"/>
        <v>24.199999999999946</v>
      </c>
      <c r="B123" s="2">
        <f t="shared" si="22"/>
        <v>35.6</v>
      </c>
      <c r="C123" s="2">
        <f t="shared" si="21"/>
        <v>0</v>
      </c>
    </row>
    <row r="124" spans="1:3" x14ac:dyDescent="0.25">
      <c r="A124">
        <f t="shared" si="23"/>
        <v>24.399999999999945</v>
      </c>
      <c r="B124" s="2">
        <f t="shared" si="22"/>
        <v>35.6</v>
      </c>
      <c r="C124" s="2">
        <f t="shared" si="21"/>
        <v>0</v>
      </c>
    </row>
    <row r="125" spans="1:3" x14ac:dyDescent="0.25">
      <c r="A125">
        <f t="shared" si="23"/>
        <v>24.599999999999945</v>
      </c>
      <c r="B125" s="2">
        <f t="shared" si="22"/>
        <v>35.6</v>
      </c>
      <c r="C125" s="2">
        <f t="shared" si="21"/>
        <v>0</v>
      </c>
    </row>
    <row r="126" spans="1:3" x14ac:dyDescent="0.25">
      <c r="A126">
        <f t="shared" si="23"/>
        <v>24.799999999999944</v>
      </c>
      <c r="B126" s="2">
        <f t="shared" si="22"/>
        <v>35.6</v>
      </c>
      <c r="C126" s="2">
        <f t="shared" si="21"/>
        <v>0</v>
      </c>
    </row>
    <row r="127" spans="1:3" x14ac:dyDescent="0.25">
      <c r="A127">
        <f t="shared" si="23"/>
        <v>24.999999999999943</v>
      </c>
      <c r="B127" s="2">
        <f t="shared" si="22"/>
        <v>35.6</v>
      </c>
      <c r="C127" s="2">
        <f t="shared" si="21"/>
        <v>0</v>
      </c>
    </row>
    <row r="128" spans="1:3" x14ac:dyDescent="0.25">
      <c r="A128">
        <f t="shared" si="23"/>
        <v>25.199999999999942</v>
      </c>
      <c r="B128" s="2">
        <f t="shared" si="22"/>
        <v>35.6</v>
      </c>
      <c r="C128" s="2">
        <f t="shared" si="21"/>
        <v>0</v>
      </c>
    </row>
    <row r="129" spans="1:3" x14ac:dyDescent="0.25">
      <c r="A129">
        <f t="shared" si="23"/>
        <v>25.399999999999942</v>
      </c>
      <c r="B129" s="2">
        <f t="shared" si="22"/>
        <v>35.6</v>
      </c>
      <c r="C129" s="2">
        <f t="shared" si="21"/>
        <v>0</v>
      </c>
    </row>
    <row r="130" spans="1:3" x14ac:dyDescent="0.25">
      <c r="A130">
        <f t="shared" si="23"/>
        <v>25.599999999999941</v>
      </c>
      <c r="B130" s="2">
        <f t="shared" si="22"/>
        <v>35.6</v>
      </c>
      <c r="C130" s="2">
        <f t="shared" si="21"/>
        <v>0</v>
      </c>
    </row>
    <row r="131" spans="1:3" x14ac:dyDescent="0.25">
      <c r="A131">
        <f t="shared" si="23"/>
        <v>25.79999999999994</v>
      </c>
      <c r="B131" s="2">
        <f t="shared" si="22"/>
        <v>35.6</v>
      </c>
      <c r="C131" s="2">
        <f t="shared" ref="C131:C194" si="24">INDEX($K$3:$K$40,MATCH(A131,$H$2:$H$40,1))</f>
        <v>0</v>
      </c>
    </row>
    <row r="132" spans="1:3" x14ac:dyDescent="0.25">
      <c r="A132">
        <f t="shared" si="23"/>
        <v>25.99999999999994</v>
      </c>
      <c r="B132" s="2">
        <f t="shared" ref="B132:B195" si="25">B131+C131</f>
        <v>35.6</v>
      </c>
      <c r="C132" s="2">
        <f t="shared" si="24"/>
        <v>0</v>
      </c>
    </row>
    <row r="133" spans="1:3" x14ac:dyDescent="0.25">
      <c r="A133">
        <f t="shared" si="23"/>
        <v>26.199999999999939</v>
      </c>
      <c r="B133" s="2">
        <f t="shared" si="25"/>
        <v>35.6</v>
      </c>
      <c r="C133" s="2">
        <f t="shared" si="24"/>
        <v>0</v>
      </c>
    </row>
    <row r="134" spans="1:3" x14ac:dyDescent="0.25">
      <c r="A134">
        <f t="shared" si="23"/>
        <v>26.399999999999938</v>
      </c>
      <c r="B134" s="2">
        <f t="shared" si="25"/>
        <v>35.6</v>
      </c>
      <c r="C134" s="2">
        <f t="shared" si="24"/>
        <v>0</v>
      </c>
    </row>
    <row r="135" spans="1:3" x14ac:dyDescent="0.25">
      <c r="A135">
        <f t="shared" si="23"/>
        <v>26.599999999999937</v>
      </c>
      <c r="B135" s="2">
        <f t="shared" si="25"/>
        <v>35.6</v>
      </c>
      <c r="C135" s="2">
        <f t="shared" si="24"/>
        <v>0</v>
      </c>
    </row>
    <row r="136" spans="1:3" x14ac:dyDescent="0.25">
      <c r="A136">
        <f t="shared" si="23"/>
        <v>26.799999999999937</v>
      </c>
      <c r="B136" s="2">
        <f t="shared" si="25"/>
        <v>35.6</v>
      </c>
      <c r="C136" s="2">
        <f t="shared" si="24"/>
        <v>0</v>
      </c>
    </row>
    <row r="137" spans="1:3" x14ac:dyDescent="0.25">
      <c r="A137">
        <f t="shared" si="23"/>
        <v>26.999999999999936</v>
      </c>
      <c r="B137" s="2">
        <f t="shared" si="25"/>
        <v>35.6</v>
      </c>
      <c r="C137" s="2">
        <f t="shared" si="24"/>
        <v>0</v>
      </c>
    </row>
    <row r="138" spans="1:3" x14ac:dyDescent="0.25">
      <c r="A138">
        <f t="shared" si="23"/>
        <v>27.199999999999935</v>
      </c>
      <c r="B138" s="2">
        <f t="shared" si="25"/>
        <v>35.6</v>
      </c>
      <c r="C138" s="2">
        <f t="shared" si="24"/>
        <v>0</v>
      </c>
    </row>
    <row r="139" spans="1:3" x14ac:dyDescent="0.25">
      <c r="A139">
        <f t="shared" si="23"/>
        <v>27.399999999999935</v>
      </c>
      <c r="B139" s="2">
        <f t="shared" si="25"/>
        <v>35.6</v>
      </c>
      <c r="C139" s="2">
        <f t="shared" si="24"/>
        <v>0</v>
      </c>
    </row>
    <row r="140" spans="1:3" x14ac:dyDescent="0.25">
      <c r="A140">
        <f t="shared" si="23"/>
        <v>27.599999999999934</v>
      </c>
      <c r="B140" s="2">
        <f t="shared" si="25"/>
        <v>35.6</v>
      </c>
      <c r="C140" s="2">
        <f t="shared" si="24"/>
        <v>0</v>
      </c>
    </row>
    <row r="141" spans="1:3" x14ac:dyDescent="0.25">
      <c r="A141">
        <f t="shared" si="23"/>
        <v>27.799999999999933</v>
      </c>
      <c r="B141" s="2">
        <f t="shared" si="25"/>
        <v>35.6</v>
      </c>
      <c r="C141" s="2">
        <f t="shared" si="24"/>
        <v>0</v>
      </c>
    </row>
    <row r="142" spans="1:3" x14ac:dyDescent="0.25">
      <c r="A142">
        <f t="shared" si="23"/>
        <v>27.999999999999932</v>
      </c>
      <c r="B142" s="2">
        <f t="shared" si="25"/>
        <v>35.6</v>
      </c>
      <c r="C142" s="2">
        <f t="shared" si="24"/>
        <v>0</v>
      </c>
    </row>
    <row r="143" spans="1:3" x14ac:dyDescent="0.25">
      <c r="A143">
        <f t="shared" si="23"/>
        <v>28.199999999999932</v>
      </c>
      <c r="B143" s="2">
        <f t="shared" si="25"/>
        <v>35.6</v>
      </c>
      <c r="C143" s="2">
        <f t="shared" si="24"/>
        <v>0</v>
      </c>
    </row>
    <row r="144" spans="1:3" x14ac:dyDescent="0.25">
      <c r="A144">
        <f t="shared" si="23"/>
        <v>28.399999999999931</v>
      </c>
      <c r="B144" s="2">
        <f t="shared" si="25"/>
        <v>35.6</v>
      </c>
      <c r="C144" s="2">
        <f t="shared" si="24"/>
        <v>0</v>
      </c>
    </row>
    <row r="145" spans="1:3" x14ac:dyDescent="0.25">
      <c r="A145">
        <f t="shared" si="23"/>
        <v>28.59999999999993</v>
      </c>
      <c r="B145" s="2">
        <f t="shared" si="25"/>
        <v>35.6</v>
      </c>
      <c r="C145" s="2">
        <f t="shared" si="24"/>
        <v>0</v>
      </c>
    </row>
    <row r="146" spans="1:3" x14ac:dyDescent="0.25">
      <c r="A146">
        <f t="shared" si="23"/>
        <v>28.79999999999993</v>
      </c>
      <c r="B146" s="2">
        <f t="shared" si="25"/>
        <v>35.6</v>
      </c>
      <c r="C146" s="2">
        <f t="shared" si="24"/>
        <v>0</v>
      </c>
    </row>
    <row r="147" spans="1:3" x14ac:dyDescent="0.25">
      <c r="A147">
        <f t="shared" si="23"/>
        <v>28.999999999999929</v>
      </c>
      <c r="B147" s="2">
        <f t="shared" si="25"/>
        <v>35.6</v>
      </c>
      <c r="C147" s="2">
        <f t="shared" si="24"/>
        <v>0</v>
      </c>
    </row>
    <row r="148" spans="1:3" x14ac:dyDescent="0.25">
      <c r="A148">
        <f t="shared" si="23"/>
        <v>29.199999999999928</v>
      </c>
      <c r="B148" s="2">
        <f t="shared" si="25"/>
        <v>35.6</v>
      </c>
      <c r="C148" s="2">
        <f t="shared" si="24"/>
        <v>0</v>
      </c>
    </row>
    <row r="149" spans="1:3" x14ac:dyDescent="0.25">
      <c r="A149">
        <f t="shared" si="23"/>
        <v>29.399999999999928</v>
      </c>
      <c r="B149" s="2">
        <f t="shared" si="25"/>
        <v>35.6</v>
      </c>
      <c r="C149" s="2">
        <f t="shared" si="24"/>
        <v>0</v>
      </c>
    </row>
    <row r="150" spans="1:3" x14ac:dyDescent="0.25">
      <c r="A150">
        <f t="shared" si="23"/>
        <v>29.599999999999927</v>
      </c>
      <c r="B150" s="2">
        <f t="shared" si="25"/>
        <v>35.6</v>
      </c>
      <c r="C150" s="2">
        <f t="shared" si="24"/>
        <v>0</v>
      </c>
    </row>
    <row r="151" spans="1:3" x14ac:dyDescent="0.25">
      <c r="A151">
        <f t="shared" si="23"/>
        <v>29.799999999999926</v>
      </c>
      <c r="B151" s="2">
        <f t="shared" si="25"/>
        <v>35.6</v>
      </c>
      <c r="C151" s="2">
        <f t="shared" si="24"/>
        <v>0</v>
      </c>
    </row>
    <row r="152" spans="1:3" x14ac:dyDescent="0.25">
      <c r="A152">
        <f t="shared" si="23"/>
        <v>29.999999999999925</v>
      </c>
      <c r="B152" s="2">
        <f t="shared" si="25"/>
        <v>35.6</v>
      </c>
      <c r="C152" s="2">
        <f t="shared" si="24"/>
        <v>0</v>
      </c>
    </row>
    <row r="153" spans="1:3" x14ac:dyDescent="0.25">
      <c r="A153">
        <f t="shared" si="23"/>
        <v>30.199999999999925</v>
      </c>
      <c r="B153" s="2">
        <f t="shared" si="25"/>
        <v>35.6</v>
      </c>
      <c r="C153" s="2">
        <f t="shared" si="24"/>
        <v>0.43999999999999984</v>
      </c>
    </row>
    <row r="154" spans="1:3" x14ac:dyDescent="0.25">
      <c r="A154">
        <f t="shared" si="23"/>
        <v>30.399999999999924</v>
      </c>
      <c r="B154" s="2">
        <f t="shared" si="25"/>
        <v>36.04</v>
      </c>
      <c r="C154" s="2">
        <f t="shared" si="24"/>
        <v>0.43999999999999984</v>
      </c>
    </row>
    <row r="155" spans="1:3" x14ac:dyDescent="0.25">
      <c r="A155">
        <f t="shared" si="23"/>
        <v>30.599999999999923</v>
      </c>
      <c r="B155" s="2">
        <f t="shared" si="25"/>
        <v>36.479999999999997</v>
      </c>
      <c r="C155" s="2">
        <f t="shared" si="24"/>
        <v>0.43999999999999984</v>
      </c>
    </row>
    <row r="156" spans="1:3" x14ac:dyDescent="0.25">
      <c r="A156">
        <f t="shared" si="23"/>
        <v>30.799999999999923</v>
      </c>
      <c r="B156" s="2">
        <f t="shared" si="25"/>
        <v>36.919999999999995</v>
      </c>
      <c r="C156" s="2">
        <f t="shared" si="24"/>
        <v>0.43999999999999984</v>
      </c>
    </row>
    <row r="157" spans="1:3" x14ac:dyDescent="0.25">
      <c r="A157">
        <f t="shared" si="23"/>
        <v>30.999999999999922</v>
      </c>
      <c r="B157" s="2">
        <f t="shared" si="25"/>
        <v>37.359999999999992</v>
      </c>
      <c r="C157" s="2">
        <f t="shared" si="24"/>
        <v>0.43999999999999984</v>
      </c>
    </row>
    <row r="158" spans="1:3" x14ac:dyDescent="0.25">
      <c r="A158">
        <f t="shared" si="23"/>
        <v>31.199999999999921</v>
      </c>
      <c r="B158" s="2">
        <f t="shared" si="25"/>
        <v>37.79999999999999</v>
      </c>
      <c r="C158" s="2">
        <f t="shared" si="24"/>
        <v>0.43999999999999984</v>
      </c>
    </row>
    <row r="159" spans="1:3" x14ac:dyDescent="0.25">
      <c r="A159">
        <f t="shared" si="23"/>
        <v>31.39999999999992</v>
      </c>
      <c r="B159" s="2">
        <f t="shared" si="25"/>
        <v>38.239999999999988</v>
      </c>
      <c r="C159" s="2">
        <f t="shared" si="24"/>
        <v>0.43999999999999984</v>
      </c>
    </row>
    <row r="160" spans="1:3" x14ac:dyDescent="0.25">
      <c r="A160">
        <f t="shared" si="23"/>
        <v>31.59999999999992</v>
      </c>
      <c r="B160" s="2">
        <f t="shared" si="25"/>
        <v>38.679999999999986</v>
      </c>
      <c r="C160" s="2">
        <f t="shared" si="24"/>
        <v>0.43999999999999984</v>
      </c>
    </row>
    <row r="161" spans="1:3" x14ac:dyDescent="0.25">
      <c r="A161">
        <f t="shared" si="23"/>
        <v>31.799999999999919</v>
      </c>
      <c r="B161" s="2">
        <f t="shared" si="25"/>
        <v>39.119999999999983</v>
      </c>
      <c r="C161" s="2">
        <f t="shared" si="24"/>
        <v>0.43999999999999984</v>
      </c>
    </row>
    <row r="162" spans="1:3" x14ac:dyDescent="0.25">
      <c r="A162">
        <f t="shared" si="23"/>
        <v>31.999999999999918</v>
      </c>
      <c r="B162" s="2">
        <f t="shared" si="25"/>
        <v>39.559999999999981</v>
      </c>
      <c r="C162" s="2">
        <f t="shared" si="24"/>
        <v>0.43999999999999984</v>
      </c>
    </row>
    <row r="163" spans="1:3" x14ac:dyDescent="0.25">
      <c r="A163">
        <f t="shared" si="23"/>
        <v>32.199999999999918</v>
      </c>
      <c r="B163" s="2">
        <f t="shared" si="25"/>
        <v>39.999999999999979</v>
      </c>
      <c r="C163" s="2">
        <f t="shared" si="24"/>
        <v>0.43999999999999984</v>
      </c>
    </row>
    <row r="164" spans="1:3" x14ac:dyDescent="0.25">
      <c r="A164">
        <f t="shared" si="23"/>
        <v>32.39999999999992</v>
      </c>
      <c r="B164" s="2">
        <f t="shared" si="25"/>
        <v>40.439999999999976</v>
      </c>
      <c r="C164" s="2">
        <f t="shared" si="24"/>
        <v>0.43999999999999984</v>
      </c>
    </row>
    <row r="165" spans="1:3" x14ac:dyDescent="0.25">
      <c r="A165">
        <f t="shared" si="23"/>
        <v>32.599999999999923</v>
      </c>
      <c r="B165" s="2">
        <f t="shared" si="25"/>
        <v>40.879999999999974</v>
      </c>
      <c r="C165" s="2">
        <f t="shared" si="24"/>
        <v>0.43999999999999984</v>
      </c>
    </row>
    <row r="166" spans="1:3" x14ac:dyDescent="0.25">
      <c r="A166">
        <f t="shared" si="23"/>
        <v>32.799999999999926</v>
      </c>
      <c r="B166" s="2">
        <f t="shared" si="25"/>
        <v>41.319999999999972</v>
      </c>
      <c r="C166" s="2">
        <f t="shared" si="24"/>
        <v>0.43999999999999984</v>
      </c>
    </row>
    <row r="167" spans="1:3" x14ac:dyDescent="0.25">
      <c r="A167">
        <f t="shared" si="23"/>
        <v>32.999999999999929</v>
      </c>
      <c r="B167" s="2">
        <f t="shared" si="25"/>
        <v>41.75999999999997</v>
      </c>
      <c r="C167" s="2">
        <f t="shared" si="24"/>
        <v>0.43999999999999984</v>
      </c>
    </row>
    <row r="168" spans="1:3" x14ac:dyDescent="0.25">
      <c r="A168">
        <f t="shared" si="23"/>
        <v>33.199999999999932</v>
      </c>
      <c r="B168" s="2">
        <f t="shared" si="25"/>
        <v>42.199999999999967</v>
      </c>
      <c r="C168" s="2">
        <f t="shared" si="24"/>
        <v>0.43999999999999984</v>
      </c>
    </row>
    <row r="169" spans="1:3" x14ac:dyDescent="0.25">
      <c r="A169">
        <f t="shared" si="23"/>
        <v>33.399999999999935</v>
      </c>
      <c r="B169" s="2">
        <f t="shared" si="25"/>
        <v>42.639999999999965</v>
      </c>
      <c r="C169" s="2">
        <f t="shared" si="24"/>
        <v>0.43999999999999984</v>
      </c>
    </row>
    <row r="170" spans="1:3" x14ac:dyDescent="0.25">
      <c r="A170">
        <f t="shared" si="23"/>
        <v>33.599999999999937</v>
      </c>
      <c r="B170" s="2">
        <f t="shared" si="25"/>
        <v>43.079999999999963</v>
      </c>
      <c r="C170" s="2">
        <f t="shared" si="24"/>
        <v>0.43999999999999984</v>
      </c>
    </row>
    <row r="171" spans="1:3" x14ac:dyDescent="0.25">
      <c r="A171">
        <f t="shared" si="23"/>
        <v>33.79999999999994</v>
      </c>
      <c r="B171" s="2">
        <f t="shared" si="25"/>
        <v>43.51999999999996</v>
      </c>
      <c r="C171" s="2">
        <f t="shared" si="24"/>
        <v>0.43999999999999984</v>
      </c>
    </row>
    <row r="172" spans="1:3" x14ac:dyDescent="0.25">
      <c r="A172">
        <f t="shared" si="23"/>
        <v>33.999999999999943</v>
      </c>
      <c r="B172" s="2">
        <f t="shared" si="25"/>
        <v>43.959999999999958</v>
      </c>
      <c r="C172" s="2">
        <f t="shared" si="24"/>
        <v>0.43999999999999984</v>
      </c>
    </row>
    <row r="173" spans="1:3" x14ac:dyDescent="0.25">
      <c r="A173">
        <f t="shared" si="23"/>
        <v>34.199999999999946</v>
      </c>
      <c r="B173" s="2">
        <f t="shared" si="25"/>
        <v>44.399999999999956</v>
      </c>
      <c r="C173" s="2">
        <f t="shared" si="24"/>
        <v>0.43999999999999984</v>
      </c>
    </row>
    <row r="174" spans="1:3" x14ac:dyDescent="0.25">
      <c r="A174">
        <f t="shared" si="23"/>
        <v>34.399999999999949</v>
      </c>
      <c r="B174" s="2">
        <f t="shared" si="25"/>
        <v>44.839999999999954</v>
      </c>
      <c r="C174" s="2">
        <f t="shared" si="24"/>
        <v>0.43999999999999984</v>
      </c>
    </row>
    <row r="175" spans="1:3" x14ac:dyDescent="0.25">
      <c r="A175">
        <f t="shared" ref="A175:A238" si="26">A174+0.2</f>
        <v>34.599999999999952</v>
      </c>
      <c r="B175" s="2">
        <f t="shared" si="25"/>
        <v>45.279999999999951</v>
      </c>
      <c r="C175" s="2">
        <f t="shared" si="24"/>
        <v>0.43999999999999984</v>
      </c>
    </row>
    <row r="176" spans="1:3" x14ac:dyDescent="0.25">
      <c r="A176">
        <f t="shared" si="26"/>
        <v>34.799999999999955</v>
      </c>
      <c r="B176" s="2">
        <f t="shared" si="25"/>
        <v>45.719999999999949</v>
      </c>
      <c r="C176" s="2">
        <f t="shared" si="24"/>
        <v>0.43999999999999984</v>
      </c>
    </row>
    <row r="177" spans="1:3" x14ac:dyDescent="0.25">
      <c r="A177">
        <f t="shared" si="26"/>
        <v>34.999999999999957</v>
      </c>
      <c r="B177" s="2">
        <f t="shared" si="25"/>
        <v>46.159999999999947</v>
      </c>
      <c r="C177" s="2">
        <f t="shared" si="24"/>
        <v>0.43999999999999984</v>
      </c>
    </row>
    <row r="178" spans="1:3" x14ac:dyDescent="0.25">
      <c r="A178">
        <f t="shared" si="26"/>
        <v>35.19999999999996</v>
      </c>
      <c r="B178" s="2">
        <f t="shared" si="25"/>
        <v>46.599999999999945</v>
      </c>
      <c r="C178" s="2">
        <f t="shared" si="24"/>
        <v>0.43999999999999984</v>
      </c>
    </row>
    <row r="179" spans="1:3" x14ac:dyDescent="0.25">
      <c r="A179">
        <f t="shared" si="26"/>
        <v>35.399999999999963</v>
      </c>
      <c r="B179" s="2">
        <f t="shared" si="25"/>
        <v>47.039999999999942</v>
      </c>
      <c r="C179" s="2">
        <f t="shared" si="24"/>
        <v>0.43999999999999984</v>
      </c>
    </row>
    <row r="180" spans="1:3" x14ac:dyDescent="0.25">
      <c r="A180">
        <f t="shared" si="26"/>
        <v>35.599999999999966</v>
      </c>
      <c r="B180" s="2">
        <f t="shared" si="25"/>
        <v>47.47999999999994</v>
      </c>
      <c r="C180" s="2">
        <f t="shared" si="24"/>
        <v>0.43999999999999984</v>
      </c>
    </row>
    <row r="181" spans="1:3" x14ac:dyDescent="0.25">
      <c r="A181">
        <f t="shared" si="26"/>
        <v>35.799999999999969</v>
      </c>
      <c r="B181" s="2">
        <f t="shared" si="25"/>
        <v>47.919999999999938</v>
      </c>
      <c r="C181" s="2">
        <f t="shared" si="24"/>
        <v>0.43999999999999984</v>
      </c>
    </row>
    <row r="182" spans="1:3" x14ac:dyDescent="0.25">
      <c r="A182">
        <f t="shared" si="26"/>
        <v>35.999999999999972</v>
      </c>
      <c r="B182" s="2">
        <f t="shared" si="25"/>
        <v>48.359999999999935</v>
      </c>
      <c r="C182" s="2">
        <f t="shared" si="24"/>
        <v>0.43999999999999984</v>
      </c>
    </row>
    <row r="183" spans="1:3" x14ac:dyDescent="0.25">
      <c r="A183">
        <f t="shared" si="26"/>
        <v>36.199999999999974</v>
      </c>
      <c r="B183" s="2">
        <f t="shared" si="25"/>
        <v>48.799999999999933</v>
      </c>
      <c r="C183" s="2">
        <f t="shared" si="24"/>
        <v>0.43999999999999984</v>
      </c>
    </row>
    <row r="184" spans="1:3" x14ac:dyDescent="0.25">
      <c r="A184">
        <f t="shared" si="26"/>
        <v>36.399999999999977</v>
      </c>
      <c r="B184" s="2">
        <f t="shared" si="25"/>
        <v>49.239999999999931</v>
      </c>
      <c r="C184" s="2">
        <f t="shared" si="24"/>
        <v>0.43999999999999984</v>
      </c>
    </row>
    <row r="185" spans="1:3" x14ac:dyDescent="0.25">
      <c r="A185">
        <f t="shared" si="26"/>
        <v>36.59999999999998</v>
      </c>
      <c r="B185" s="2">
        <f t="shared" si="25"/>
        <v>49.679999999999929</v>
      </c>
      <c r="C185" s="2">
        <f t="shared" si="24"/>
        <v>0.43999999999999984</v>
      </c>
    </row>
    <row r="186" spans="1:3" x14ac:dyDescent="0.25">
      <c r="A186">
        <f t="shared" si="26"/>
        <v>36.799999999999983</v>
      </c>
      <c r="B186" s="2">
        <f t="shared" si="25"/>
        <v>50.119999999999926</v>
      </c>
      <c r="C186" s="2">
        <f t="shared" si="24"/>
        <v>0.43999999999999984</v>
      </c>
    </row>
    <row r="187" spans="1:3" x14ac:dyDescent="0.25">
      <c r="A187">
        <f t="shared" si="26"/>
        <v>36.999999999999986</v>
      </c>
      <c r="B187" s="2">
        <f t="shared" si="25"/>
        <v>50.559999999999924</v>
      </c>
      <c r="C187" s="2">
        <f t="shared" si="24"/>
        <v>0.43999999999999984</v>
      </c>
    </row>
    <row r="188" spans="1:3" x14ac:dyDescent="0.25">
      <c r="A188">
        <f t="shared" si="26"/>
        <v>37.199999999999989</v>
      </c>
      <c r="B188" s="2">
        <f t="shared" si="25"/>
        <v>50.999999999999922</v>
      </c>
      <c r="C188" s="2">
        <f t="shared" si="24"/>
        <v>0.43999999999999984</v>
      </c>
    </row>
    <row r="189" spans="1:3" x14ac:dyDescent="0.25">
      <c r="A189">
        <f t="shared" si="26"/>
        <v>37.399999999999991</v>
      </c>
      <c r="B189" s="2">
        <f t="shared" si="25"/>
        <v>51.43999999999992</v>
      </c>
      <c r="C189" s="2">
        <f t="shared" si="24"/>
        <v>0.43999999999999984</v>
      </c>
    </row>
    <row r="190" spans="1:3" x14ac:dyDescent="0.25">
      <c r="A190">
        <f t="shared" si="26"/>
        <v>37.599999999999994</v>
      </c>
      <c r="B190" s="2">
        <f t="shared" si="25"/>
        <v>51.879999999999917</v>
      </c>
      <c r="C190" s="2">
        <f t="shared" si="24"/>
        <v>0.43999999999999984</v>
      </c>
    </row>
    <row r="191" spans="1:3" x14ac:dyDescent="0.25">
      <c r="A191">
        <f t="shared" si="26"/>
        <v>37.799999999999997</v>
      </c>
      <c r="B191" s="2">
        <f t="shared" si="25"/>
        <v>52.319999999999915</v>
      </c>
      <c r="C191" s="2">
        <f t="shared" si="24"/>
        <v>0.43999999999999984</v>
      </c>
    </row>
    <row r="192" spans="1:3" x14ac:dyDescent="0.25">
      <c r="A192">
        <f t="shared" si="26"/>
        <v>38</v>
      </c>
      <c r="B192" s="2">
        <f t="shared" si="25"/>
        <v>52.759999999999913</v>
      </c>
      <c r="C192" s="2">
        <f t="shared" si="24"/>
        <v>0.43999999999999984</v>
      </c>
    </row>
    <row r="193" spans="1:3" x14ac:dyDescent="0.25">
      <c r="A193">
        <f t="shared" si="26"/>
        <v>38.200000000000003</v>
      </c>
      <c r="B193" s="2">
        <f t="shared" si="25"/>
        <v>53.19999999999991</v>
      </c>
      <c r="C193" s="2">
        <f t="shared" si="24"/>
        <v>0.43999999999999984</v>
      </c>
    </row>
    <row r="194" spans="1:3" x14ac:dyDescent="0.25">
      <c r="A194">
        <f t="shared" si="26"/>
        <v>38.400000000000006</v>
      </c>
      <c r="B194" s="2">
        <f t="shared" si="25"/>
        <v>53.639999999999908</v>
      </c>
      <c r="C194" s="2">
        <f t="shared" si="24"/>
        <v>0.43999999999999984</v>
      </c>
    </row>
    <row r="195" spans="1:3" x14ac:dyDescent="0.25">
      <c r="A195">
        <f t="shared" si="26"/>
        <v>38.600000000000009</v>
      </c>
      <c r="B195" s="2">
        <f t="shared" si="25"/>
        <v>54.079999999999906</v>
      </c>
      <c r="C195" s="2">
        <f t="shared" ref="C195:C258" si="27">INDEX($K$3:$K$40,MATCH(A195,$H$2:$H$40,1))</f>
        <v>0.43999999999999984</v>
      </c>
    </row>
    <row r="196" spans="1:3" x14ac:dyDescent="0.25">
      <c r="A196">
        <f t="shared" si="26"/>
        <v>38.800000000000011</v>
      </c>
      <c r="B196" s="2">
        <f t="shared" ref="B196:B259" si="28">B195+C195</f>
        <v>54.519999999999904</v>
      </c>
      <c r="C196" s="2">
        <f t="shared" si="27"/>
        <v>0.43999999999999984</v>
      </c>
    </row>
    <row r="197" spans="1:3" x14ac:dyDescent="0.25">
      <c r="A197">
        <f t="shared" si="26"/>
        <v>39.000000000000014</v>
      </c>
      <c r="B197" s="2">
        <f t="shared" si="28"/>
        <v>54.959999999999901</v>
      </c>
      <c r="C197" s="2">
        <f t="shared" si="27"/>
        <v>0.43999999999999984</v>
      </c>
    </row>
    <row r="198" spans="1:3" x14ac:dyDescent="0.25">
      <c r="A198">
        <f t="shared" si="26"/>
        <v>39.200000000000017</v>
      </c>
      <c r="B198" s="2">
        <f t="shared" si="28"/>
        <v>55.399999999999899</v>
      </c>
      <c r="C198" s="2">
        <f t="shared" si="27"/>
        <v>0.43999999999999984</v>
      </c>
    </row>
    <row r="199" spans="1:3" x14ac:dyDescent="0.25">
      <c r="A199">
        <f t="shared" si="26"/>
        <v>39.40000000000002</v>
      </c>
      <c r="B199" s="2">
        <f t="shared" si="28"/>
        <v>55.839999999999897</v>
      </c>
      <c r="C199" s="2">
        <f t="shared" si="27"/>
        <v>0.43999999999999984</v>
      </c>
    </row>
    <row r="200" spans="1:3" x14ac:dyDescent="0.25">
      <c r="A200">
        <f t="shared" si="26"/>
        <v>39.600000000000023</v>
      </c>
      <c r="B200" s="2">
        <f t="shared" si="28"/>
        <v>56.279999999999895</v>
      </c>
      <c r="C200" s="2">
        <f t="shared" si="27"/>
        <v>0.43999999999999984</v>
      </c>
    </row>
    <row r="201" spans="1:3" x14ac:dyDescent="0.25">
      <c r="A201">
        <f t="shared" si="26"/>
        <v>39.800000000000026</v>
      </c>
      <c r="B201" s="2">
        <f t="shared" si="28"/>
        <v>56.719999999999892</v>
      </c>
      <c r="C201" s="2">
        <f t="shared" si="27"/>
        <v>0.43999999999999984</v>
      </c>
    </row>
    <row r="202" spans="1:3" x14ac:dyDescent="0.25">
      <c r="A202">
        <f t="shared" si="26"/>
        <v>40.000000000000028</v>
      </c>
      <c r="B202" s="2">
        <f t="shared" si="28"/>
        <v>57.15999999999989</v>
      </c>
      <c r="C202" s="2">
        <f t="shared" si="27"/>
        <v>0</v>
      </c>
    </row>
    <row r="203" spans="1:3" x14ac:dyDescent="0.25">
      <c r="A203">
        <f t="shared" si="26"/>
        <v>40.200000000000031</v>
      </c>
      <c r="B203" s="2">
        <f t="shared" si="28"/>
        <v>57.15999999999989</v>
      </c>
      <c r="C203" s="2">
        <f t="shared" si="27"/>
        <v>0</v>
      </c>
    </row>
    <row r="204" spans="1:3" x14ac:dyDescent="0.25">
      <c r="A204">
        <f t="shared" si="26"/>
        <v>40.400000000000034</v>
      </c>
      <c r="B204" s="2">
        <f t="shared" si="28"/>
        <v>57.15999999999989</v>
      </c>
      <c r="C204" s="2">
        <f t="shared" si="27"/>
        <v>0</v>
      </c>
    </row>
    <row r="205" spans="1:3" x14ac:dyDescent="0.25">
      <c r="A205">
        <f t="shared" si="26"/>
        <v>40.600000000000037</v>
      </c>
      <c r="B205" s="2">
        <f t="shared" si="28"/>
        <v>57.15999999999989</v>
      </c>
      <c r="C205" s="2">
        <f t="shared" si="27"/>
        <v>0</v>
      </c>
    </row>
    <row r="206" spans="1:3" x14ac:dyDescent="0.25">
      <c r="A206">
        <f t="shared" si="26"/>
        <v>40.80000000000004</v>
      </c>
      <c r="B206" s="2">
        <f t="shared" si="28"/>
        <v>57.15999999999989</v>
      </c>
      <c r="C206" s="2">
        <f t="shared" si="27"/>
        <v>0</v>
      </c>
    </row>
    <row r="207" spans="1:3" x14ac:dyDescent="0.25">
      <c r="A207">
        <f t="shared" si="26"/>
        <v>41.000000000000043</v>
      </c>
      <c r="B207" s="2">
        <f t="shared" si="28"/>
        <v>57.15999999999989</v>
      </c>
      <c r="C207" s="2">
        <f t="shared" si="27"/>
        <v>0</v>
      </c>
    </row>
    <row r="208" spans="1:3" x14ac:dyDescent="0.25">
      <c r="A208">
        <f t="shared" si="26"/>
        <v>41.200000000000045</v>
      </c>
      <c r="B208" s="2">
        <f t="shared" si="28"/>
        <v>57.15999999999989</v>
      </c>
      <c r="C208" s="2">
        <f t="shared" si="27"/>
        <v>0</v>
      </c>
    </row>
    <row r="209" spans="1:3" x14ac:dyDescent="0.25">
      <c r="A209">
        <f t="shared" si="26"/>
        <v>41.400000000000048</v>
      </c>
      <c r="B209" s="2">
        <f t="shared" si="28"/>
        <v>57.15999999999989</v>
      </c>
      <c r="C209" s="2">
        <f t="shared" si="27"/>
        <v>0</v>
      </c>
    </row>
    <row r="210" spans="1:3" x14ac:dyDescent="0.25">
      <c r="A210">
        <f t="shared" si="26"/>
        <v>41.600000000000051</v>
      </c>
      <c r="B210" s="2">
        <f t="shared" si="28"/>
        <v>57.15999999999989</v>
      </c>
      <c r="C210" s="2">
        <f t="shared" si="27"/>
        <v>0</v>
      </c>
    </row>
    <row r="211" spans="1:3" x14ac:dyDescent="0.25">
      <c r="A211">
        <f t="shared" si="26"/>
        <v>41.800000000000054</v>
      </c>
      <c r="B211" s="2">
        <f t="shared" si="28"/>
        <v>57.15999999999989</v>
      </c>
      <c r="C211" s="2">
        <f t="shared" si="27"/>
        <v>0</v>
      </c>
    </row>
    <row r="212" spans="1:3" x14ac:dyDescent="0.25">
      <c r="A212">
        <f t="shared" si="26"/>
        <v>42.000000000000057</v>
      </c>
      <c r="B212" s="2">
        <f t="shared" si="28"/>
        <v>57.15999999999989</v>
      </c>
      <c r="C212" s="2">
        <f t="shared" si="27"/>
        <v>0</v>
      </c>
    </row>
    <row r="213" spans="1:3" x14ac:dyDescent="0.25">
      <c r="A213">
        <f t="shared" si="26"/>
        <v>42.20000000000006</v>
      </c>
      <c r="B213" s="2">
        <f t="shared" si="28"/>
        <v>57.15999999999989</v>
      </c>
      <c r="C213" s="2">
        <f t="shared" si="27"/>
        <v>0</v>
      </c>
    </row>
    <row r="214" spans="1:3" x14ac:dyDescent="0.25">
      <c r="A214">
        <f t="shared" si="26"/>
        <v>42.400000000000063</v>
      </c>
      <c r="B214" s="2">
        <f t="shared" si="28"/>
        <v>57.15999999999989</v>
      </c>
      <c r="C214" s="2">
        <f t="shared" si="27"/>
        <v>0</v>
      </c>
    </row>
    <row r="215" spans="1:3" x14ac:dyDescent="0.25">
      <c r="A215">
        <f t="shared" si="26"/>
        <v>42.600000000000065</v>
      </c>
      <c r="B215" s="2">
        <f t="shared" si="28"/>
        <v>57.15999999999989</v>
      </c>
      <c r="C215" s="2">
        <f t="shared" si="27"/>
        <v>0</v>
      </c>
    </row>
    <row r="216" spans="1:3" x14ac:dyDescent="0.25">
      <c r="A216">
        <f t="shared" si="26"/>
        <v>42.800000000000068</v>
      </c>
      <c r="B216" s="2">
        <f t="shared" si="28"/>
        <v>57.15999999999989</v>
      </c>
      <c r="C216" s="2">
        <f t="shared" si="27"/>
        <v>0</v>
      </c>
    </row>
    <row r="217" spans="1:3" x14ac:dyDescent="0.25">
      <c r="A217">
        <f t="shared" si="26"/>
        <v>43.000000000000071</v>
      </c>
      <c r="B217" s="2">
        <f t="shared" si="28"/>
        <v>57.15999999999989</v>
      </c>
      <c r="C217" s="2">
        <f t="shared" si="27"/>
        <v>0</v>
      </c>
    </row>
    <row r="218" spans="1:3" x14ac:dyDescent="0.25">
      <c r="A218">
        <f t="shared" si="26"/>
        <v>43.200000000000074</v>
      </c>
      <c r="B218" s="2">
        <f t="shared" si="28"/>
        <v>57.15999999999989</v>
      </c>
      <c r="C218" s="2">
        <f t="shared" si="27"/>
        <v>0</v>
      </c>
    </row>
    <row r="219" spans="1:3" x14ac:dyDescent="0.25">
      <c r="A219">
        <f t="shared" si="26"/>
        <v>43.400000000000077</v>
      </c>
      <c r="B219" s="2">
        <f t="shared" si="28"/>
        <v>57.15999999999989</v>
      </c>
      <c r="C219" s="2">
        <f t="shared" si="27"/>
        <v>0</v>
      </c>
    </row>
    <row r="220" spans="1:3" x14ac:dyDescent="0.25">
      <c r="A220">
        <f t="shared" si="26"/>
        <v>43.60000000000008</v>
      </c>
      <c r="B220" s="2">
        <f t="shared" si="28"/>
        <v>57.15999999999989</v>
      </c>
      <c r="C220" s="2">
        <f t="shared" si="27"/>
        <v>0</v>
      </c>
    </row>
    <row r="221" spans="1:3" x14ac:dyDescent="0.25">
      <c r="A221">
        <f t="shared" si="26"/>
        <v>43.800000000000082</v>
      </c>
      <c r="B221" s="2">
        <f t="shared" si="28"/>
        <v>57.15999999999989</v>
      </c>
      <c r="C221" s="2">
        <f t="shared" si="27"/>
        <v>0</v>
      </c>
    </row>
    <row r="222" spans="1:3" x14ac:dyDescent="0.25">
      <c r="A222">
        <f t="shared" si="26"/>
        <v>44.000000000000085</v>
      </c>
      <c r="B222" s="2">
        <f t="shared" si="28"/>
        <v>57.15999999999989</v>
      </c>
      <c r="C222" s="2">
        <f t="shared" si="27"/>
        <v>0</v>
      </c>
    </row>
    <row r="223" spans="1:3" x14ac:dyDescent="0.25">
      <c r="A223">
        <f t="shared" si="26"/>
        <v>44.200000000000088</v>
      </c>
      <c r="B223" s="2">
        <f t="shared" si="28"/>
        <v>57.15999999999989</v>
      </c>
      <c r="C223" s="2">
        <f t="shared" si="27"/>
        <v>0</v>
      </c>
    </row>
    <row r="224" spans="1:3" x14ac:dyDescent="0.25">
      <c r="A224">
        <f t="shared" si="26"/>
        <v>44.400000000000091</v>
      </c>
      <c r="B224" s="2">
        <f t="shared" si="28"/>
        <v>57.15999999999989</v>
      </c>
      <c r="C224" s="2">
        <f t="shared" si="27"/>
        <v>0</v>
      </c>
    </row>
    <row r="225" spans="1:3" x14ac:dyDescent="0.25">
      <c r="A225">
        <f t="shared" si="26"/>
        <v>44.600000000000094</v>
      </c>
      <c r="B225" s="2">
        <f t="shared" si="28"/>
        <v>57.15999999999989</v>
      </c>
      <c r="C225" s="2">
        <f t="shared" si="27"/>
        <v>0</v>
      </c>
    </row>
    <row r="226" spans="1:3" x14ac:dyDescent="0.25">
      <c r="A226">
        <f t="shared" si="26"/>
        <v>44.800000000000097</v>
      </c>
      <c r="B226" s="2">
        <f t="shared" si="28"/>
        <v>57.15999999999989</v>
      </c>
      <c r="C226" s="2">
        <f t="shared" si="27"/>
        <v>0</v>
      </c>
    </row>
    <row r="227" spans="1:3" x14ac:dyDescent="0.25">
      <c r="A227">
        <f t="shared" si="26"/>
        <v>45.000000000000099</v>
      </c>
      <c r="B227" s="2">
        <f t="shared" si="28"/>
        <v>57.15999999999989</v>
      </c>
      <c r="C227" s="2">
        <f t="shared" si="27"/>
        <v>-0.43999999999999984</v>
      </c>
    </row>
    <row r="228" spans="1:3" x14ac:dyDescent="0.25">
      <c r="A228">
        <f t="shared" si="26"/>
        <v>45.200000000000102</v>
      </c>
      <c r="B228" s="2">
        <f t="shared" si="28"/>
        <v>56.719999999999892</v>
      </c>
      <c r="C228" s="2">
        <f t="shared" si="27"/>
        <v>-0.43999999999999984</v>
      </c>
    </row>
    <row r="229" spans="1:3" x14ac:dyDescent="0.25">
      <c r="A229">
        <f t="shared" si="26"/>
        <v>45.400000000000105</v>
      </c>
      <c r="B229" s="2">
        <f t="shared" si="28"/>
        <v>56.279999999999895</v>
      </c>
      <c r="C229" s="2">
        <f t="shared" si="27"/>
        <v>-0.43999999999999984</v>
      </c>
    </row>
    <row r="230" spans="1:3" x14ac:dyDescent="0.25">
      <c r="A230">
        <f t="shared" si="26"/>
        <v>45.600000000000108</v>
      </c>
      <c r="B230" s="2">
        <f t="shared" si="28"/>
        <v>55.839999999999897</v>
      </c>
      <c r="C230" s="2">
        <f t="shared" si="27"/>
        <v>-0.43999999999999984</v>
      </c>
    </row>
    <row r="231" spans="1:3" x14ac:dyDescent="0.25">
      <c r="A231">
        <f t="shared" si="26"/>
        <v>45.800000000000111</v>
      </c>
      <c r="B231" s="2">
        <f t="shared" si="28"/>
        <v>55.399999999999899</v>
      </c>
      <c r="C231" s="2">
        <f t="shared" si="27"/>
        <v>-0.43999999999999984</v>
      </c>
    </row>
    <row r="232" spans="1:3" x14ac:dyDescent="0.25">
      <c r="A232">
        <f t="shared" si="26"/>
        <v>46.000000000000114</v>
      </c>
      <c r="B232" s="2">
        <f t="shared" si="28"/>
        <v>54.959999999999901</v>
      </c>
      <c r="C232" s="2">
        <f t="shared" si="27"/>
        <v>-0.43999999999999984</v>
      </c>
    </row>
    <row r="233" spans="1:3" x14ac:dyDescent="0.25">
      <c r="A233">
        <f t="shared" si="26"/>
        <v>46.200000000000117</v>
      </c>
      <c r="B233" s="2">
        <f t="shared" si="28"/>
        <v>54.519999999999904</v>
      </c>
      <c r="C233" s="2">
        <f t="shared" si="27"/>
        <v>-0.43999999999999984</v>
      </c>
    </row>
    <row r="234" spans="1:3" x14ac:dyDescent="0.25">
      <c r="A234">
        <f t="shared" si="26"/>
        <v>46.400000000000119</v>
      </c>
      <c r="B234" s="2">
        <f t="shared" si="28"/>
        <v>54.079999999999906</v>
      </c>
      <c r="C234" s="2">
        <f t="shared" si="27"/>
        <v>-0.43999999999999984</v>
      </c>
    </row>
    <row r="235" spans="1:3" x14ac:dyDescent="0.25">
      <c r="A235">
        <f t="shared" si="26"/>
        <v>46.600000000000122</v>
      </c>
      <c r="B235" s="2">
        <f t="shared" si="28"/>
        <v>53.639999999999908</v>
      </c>
      <c r="C235" s="2">
        <f t="shared" si="27"/>
        <v>-0.43999999999999984</v>
      </c>
    </row>
    <row r="236" spans="1:3" x14ac:dyDescent="0.25">
      <c r="A236">
        <f t="shared" si="26"/>
        <v>46.800000000000125</v>
      </c>
      <c r="B236" s="2">
        <f t="shared" si="28"/>
        <v>53.19999999999991</v>
      </c>
      <c r="C236" s="2">
        <f t="shared" si="27"/>
        <v>-0.43999999999999984</v>
      </c>
    </row>
    <row r="237" spans="1:3" x14ac:dyDescent="0.25">
      <c r="A237">
        <f t="shared" si="26"/>
        <v>47.000000000000128</v>
      </c>
      <c r="B237" s="2">
        <f t="shared" si="28"/>
        <v>52.759999999999913</v>
      </c>
      <c r="C237" s="2">
        <f t="shared" si="27"/>
        <v>-0.43999999999999984</v>
      </c>
    </row>
    <row r="238" spans="1:3" x14ac:dyDescent="0.25">
      <c r="A238">
        <f t="shared" si="26"/>
        <v>47.200000000000131</v>
      </c>
      <c r="B238" s="2">
        <f t="shared" si="28"/>
        <v>52.319999999999915</v>
      </c>
      <c r="C238" s="2">
        <f t="shared" si="27"/>
        <v>-0.43999999999999984</v>
      </c>
    </row>
    <row r="239" spans="1:3" x14ac:dyDescent="0.25">
      <c r="A239">
        <f t="shared" ref="A239:A302" si="29">A238+0.2</f>
        <v>47.400000000000134</v>
      </c>
      <c r="B239" s="2">
        <f t="shared" si="28"/>
        <v>51.879999999999917</v>
      </c>
      <c r="C239" s="2">
        <f t="shared" si="27"/>
        <v>-0.43999999999999984</v>
      </c>
    </row>
    <row r="240" spans="1:3" x14ac:dyDescent="0.25">
      <c r="A240">
        <f t="shared" si="29"/>
        <v>47.600000000000136</v>
      </c>
      <c r="B240" s="2">
        <f t="shared" si="28"/>
        <v>51.43999999999992</v>
      </c>
      <c r="C240" s="2">
        <f t="shared" si="27"/>
        <v>-0.43999999999999984</v>
      </c>
    </row>
    <row r="241" spans="1:3" x14ac:dyDescent="0.25">
      <c r="A241">
        <f t="shared" si="29"/>
        <v>47.800000000000139</v>
      </c>
      <c r="B241" s="2">
        <f t="shared" si="28"/>
        <v>50.999999999999922</v>
      </c>
      <c r="C241" s="2">
        <f t="shared" si="27"/>
        <v>-0.43999999999999984</v>
      </c>
    </row>
    <row r="242" spans="1:3" x14ac:dyDescent="0.25">
      <c r="A242">
        <f t="shared" si="29"/>
        <v>48.000000000000142</v>
      </c>
      <c r="B242" s="2">
        <f t="shared" si="28"/>
        <v>50.559999999999924</v>
      </c>
      <c r="C242" s="2">
        <f t="shared" si="27"/>
        <v>-0.43999999999999984</v>
      </c>
    </row>
    <row r="243" spans="1:3" x14ac:dyDescent="0.25">
      <c r="A243">
        <f t="shared" si="29"/>
        <v>48.200000000000145</v>
      </c>
      <c r="B243" s="2">
        <f t="shared" si="28"/>
        <v>50.119999999999926</v>
      </c>
      <c r="C243" s="2">
        <f t="shared" si="27"/>
        <v>-0.43999999999999984</v>
      </c>
    </row>
    <row r="244" spans="1:3" x14ac:dyDescent="0.25">
      <c r="A244">
        <f t="shared" si="29"/>
        <v>48.400000000000148</v>
      </c>
      <c r="B244" s="2">
        <f t="shared" si="28"/>
        <v>49.679999999999929</v>
      </c>
      <c r="C244" s="2">
        <f t="shared" si="27"/>
        <v>-0.43999999999999984</v>
      </c>
    </row>
    <row r="245" spans="1:3" x14ac:dyDescent="0.25">
      <c r="A245">
        <f t="shared" si="29"/>
        <v>48.600000000000151</v>
      </c>
      <c r="B245" s="2">
        <f t="shared" si="28"/>
        <v>49.239999999999931</v>
      </c>
      <c r="C245" s="2">
        <f t="shared" si="27"/>
        <v>-0.43999999999999984</v>
      </c>
    </row>
    <row r="246" spans="1:3" x14ac:dyDescent="0.25">
      <c r="A246">
        <f t="shared" si="29"/>
        <v>48.800000000000153</v>
      </c>
      <c r="B246" s="2">
        <f t="shared" si="28"/>
        <v>48.799999999999933</v>
      </c>
      <c r="C246" s="2">
        <f t="shared" si="27"/>
        <v>-0.43999999999999984</v>
      </c>
    </row>
    <row r="247" spans="1:3" x14ac:dyDescent="0.25">
      <c r="A247">
        <f t="shared" si="29"/>
        <v>49.000000000000156</v>
      </c>
      <c r="B247" s="2">
        <f t="shared" si="28"/>
        <v>48.359999999999935</v>
      </c>
      <c r="C247" s="2">
        <f t="shared" si="27"/>
        <v>-0.43999999999999984</v>
      </c>
    </row>
    <row r="248" spans="1:3" x14ac:dyDescent="0.25">
      <c r="A248">
        <f t="shared" si="29"/>
        <v>49.200000000000159</v>
      </c>
      <c r="B248" s="2">
        <f t="shared" si="28"/>
        <v>47.919999999999938</v>
      </c>
      <c r="C248" s="2">
        <f t="shared" si="27"/>
        <v>-0.43999999999999984</v>
      </c>
    </row>
    <row r="249" spans="1:3" x14ac:dyDescent="0.25">
      <c r="A249">
        <f t="shared" si="29"/>
        <v>49.400000000000162</v>
      </c>
      <c r="B249" s="2">
        <f t="shared" si="28"/>
        <v>47.47999999999994</v>
      </c>
      <c r="C249" s="2">
        <f t="shared" si="27"/>
        <v>-0.43999999999999984</v>
      </c>
    </row>
    <row r="250" spans="1:3" x14ac:dyDescent="0.25">
      <c r="A250">
        <f t="shared" si="29"/>
        <v>49.600000000000165</v>
      </c>
      <c r="B250" s="2">
        <f t="shared" si="28"/>
        <v>47.039999999999942</v>
      </c>
      <c r="C250" s="2">
        <f t="shared" si="27"/>
        <v>-0.43999999999999984</v>
      </c>
    </row>
    <row r="251" spans="1:3" x14ac:dyDescent="0.25">
      <c r="A251">
        <f t="shared" si="29"/>
        <v>49.800000000000168</v>
      </c>
      <c r="B251" s="2">
        <f t="shared" si="28"/>
        <v>46.599999999999945</v>
      </c>
      <c r="C251" s="2">
        <f t="shared" si="27"/>
        <v>-0.43999999999999984</v>
      </c>
    </row>
    <row r="252" spans="1:3" x14ac:dyDescent="0.25">
      <c r="A252">
        <f t="shared" si="29"/>
        <v>50.000000000000171</v>
      </c>
      <c r="B252" s="2">
        <f t="shared" si="28"/>
        <v>46.159999999999947</v>
      </c>
      <c r="C252" s="2">
        <f t="shared" si="27"/>
        <v>-0.43999999999999984</v>
      </c>
    </row>
    <row r="253" spans="1:3" x14ac:dyDescent="0.25">
      <c r="A253">
        <f t="shared" si="29"/>
        <v>50.200000000000173</v>
      </c>
      <c r="B253" s="2">
        <f t="shared" si="28"/>
        <v>45.719999999999949</v>
      </c>
      <c r="C253" s="2">
        <f t="shared" si="27"/>
        <v>-0.43999999999999984</v>
      </c>
    </row>
    <row r="254" spans="1:3" x14ac:dyDescent="0.25">
      <c r="A254">
        <f t="shared" si="29"/>
        <v>50.400000000000176</v>
      </c>
      <c r="B254" s="2">
        <f t="shared" si="28"/>
        <v>45.279999999999951</v>
      </c>
      <c r="C254" s="2">
        <f t="shared" si="27"/>
        <v>-0.43999999999999984</v>
      </c>
    </row>
    <row r="255" spans="1:3" x14ac:dyDescent="0.25">
      <c r="A255">
        <f t="shared" si="29"/>
        <v>50.600000000000179</v>
      </c>
      <c r="B255" s="2">
        <f t="shared" si="28"/>
        <v>44.839999999999954</v>
      </c>
      <c r="C255" s="2">
        <f t="shared" si="27"/>
        <v>-0.43999999999999984</v>
      </c>
    </row>
    <row r="256" spans="1:3" x14ac:dyDescent="0.25">
      <c r="A256">
        <f t="shared" si="29"/>
        <v>50.800000000000182</v>
      </c>
      <c r="B256" s="2">
        <f t="shared" si="28"/>
        <v>44.399999999999956</v>
      </c>
      <c r="C256" s="2">
        <f t="shared" si="27"/>
        <v>-0.43999999999999984</v>
      </c>
    </row>
    <row r="257" spans="1:3" x14ac:dyDescent="0.25">
      <c r="A257">
        <f t="shared" si="29"/>
        <v>51.000000000000185</v>
      </c>
      <c r="B257" s="2">
        <f t="shared" si="28"/>
        <v>43.959999999999958</v>
      </c>
      <c r="C257" s="2">
        <f t="shared" si="27"/>
        <v>-0.43999999999999984</v>
      </c>
    </row>
    <row r="258" spans="1:3" x14ac:dyDescent="0.25">
      <c r="A258">
        <f t="shared" si="29"/>
        <v>51.200000000000188</v>
      </c>
      <c r="B258" s="2">
        <f t="shared" si="28"/>
        <v>43.51999999999996</v>
      </c>
      <c r="C258" s="2">
        <f t="shared" si="27"/>
        <v>-0.43999999999999984</v>
      </c>
    </row>
    <row r="259" spans="1:3" x14ac:dyDescent="0.25">
      <c r="A259">
        <f t="shared" si="29"/>
        <v>51.40000000000019</v>
      </c>
      <c r="B259" s="2">
        <f t="shared" si="28"/>
        <v>43.079999999999963</v>
      </c>
      <c r="C259" s="2">
        <f t="shared" ref="C259:C322" si="30">INDEX($K$3:$K$40,MATCH(A259,$H$2:$H$40,1))</f>
        <v>-0.43999999999999984</v>
      </c>
    </row>
    <row r="260" spans="1:3" x14ac:dyDescent="0.25">
      <c r="A260">
        <f t="shared" si="29"/>
        <v>51.600000000000193</v>
      </c>
      <c r="B260" s="2">
        <f t="shared" ref="B260:B323" si="31">B259+C259</f>
        <v>42.639999999999965</v>
      </c>
      <c r="C260" s="2">
        <f t="shared" si="30"/>
        <v>-0.43999999999999984</v>
      </c>
    </row>
    <row r="261" spans="1:3" x14ac:dyDescent="0.25">
      <c r="A261">
        <f t="shared" si="29"/>
        <v>51.800000000000196</v>
      </c>
      <c r="B261" s="2">
        <f t="shared" si="31"/>
        <v>42.199999999999967</v>
      </c>
      <c r="C261" s="2">
        <f t="shared" si="30"/>
        <v>-0.43999999999999984</v>
      </c>
    </row>
    <row r="262" spans="1:3" x14ac:dyDescent="0.25">
      <c r="A262">
        <f t="shared" si="29"/>
        <v>52.000000000000199</v>
      </c>
      <c r="B262" s="2">
        <f t="shared" si="31"/>
        <v>41.75999999999997</v>
      </c>
      <c r="C262" s="2">
        <f t="shared" si="30"/>
        <v>-0.43999999999999984</v>
      </c>
    </row>
    <row r="263" spans="1:3" x14ac:dyDescent="0.25">
      <c r="A263">
        <f t="shared" si="29"/>
        <v>52.200000000000202</v>
      </c>
      <c r="B263" s="2">
        <f t="shared" si="31"/>
        <v>41.319999999999972</v>
      </c>
      <c r="C263" s="2">
        <f t="shared" si="30"/>
        <v>-0.43999999999999984</v>
      </c>
    </row>
    <row r="264" spans="1:3" x14ac:dyDescent="0.25">
      <c r="A264">
        <f t="shared" si="29"/>
        <v>52.400000000000205</v>
      </c>
      <c r="B264" s="2">
        <f t="shared" si="31"/>
        <v>40.879999999999974</v>
      </c>
      <c r="C264" s="2">
        <f t="shared" si="30"/>
        <v>-0.43999999999999984</v>
      </c>
    </row>
    <row r="265" spans="1:3" x14ac:dyDescent="0.25">
      <c r="A265">
        <f t="shared" si="29"/>
        <v>52.600000000000207</v>
      </c>
      <c r="B265" s="2">
        <f t="shared" si="31"/>
        <v>40.439999999999976</v>
      </c>
      <c r="C265" s="2">
        <f t="shared" si="30"/>
        <v>-0.43999999999999984</v>
      </c>
    </row>
    <row r="266" spans="1:3" x14ac:dyDescent="0.25">
      <c r="A266">
        <f t="shared" si="29"/>
        <v>52.80000000000021</v>
      </c>
      <c r="B266" s="2">
        <f t="shared" si="31"/>
        <v>39.999999999999979</v>
      </c>
      <c r="C266" s="2">
        <f t="shared" si="30"/>
        <v>-0.43999999999999984</v>
      </c>
    </row>
    <row r="267" spans="1:3" x14ac:dyDescent="0.25">
      <c r="A267">
        <f t="shared" si="29"/>
        <v>53.000000000000213</v>
      </c>
      <c r="B267" s="2">
        <f t="shared" si="31"/>
        <v>39.559999999999981</v>
      </c>
      <c r="C267" s="2">
        <f t="shared" si="30"/>
        <v>-0.43999999999999984</v>
      </c>
    </row>
    <row r="268" spans="1:3" x14ac:dyDescent="0.25">
      <c r="A268">
        <f t="shared" si="29"/>
        <v>53.200000000000216</v>
      </c>
      <c r="B268" s="2">
        <f t="shared" si="31"/>
        <v>39.119999999999983</v>
      </c>
      <c r="C268" s="2">
        <f t="shared" si="30"/>
        <v>-0.43999999999999984</v>
      </c>
    </row>
    <row r="269" spans="1:3" x14ac:dyDescent="0.25">
      <c r="A269">
        <f t="shared" si="29"/>
        <v>53.400000000000219</v>
      </c>
      <c r="B269" s="2">
        <f t="shared" si="31"/>
        <v>38.679999999999986</v>
      </c>
      <c r="C269" s="2">
        <f t="shared" si="30"/>
        <v>-0.43999999999999984</v>
      </c>
    </row>
    <row r="270" spans="1:3" x14ac:dyDescent="0.25">
      <c r="A270">
        <f t="shared" si="29"/>
        <v>53.600000000000222</v>
      </c>
      <c r="B270" s="2">
        <f t="shared" si="31"/>
        <v>38.239999999999988</v>
      </c>
      <c r="C270" s="2">
        <f t="shared" si="30"/>
        <v>-0.43999999999999984</v>
      </c>
    </row>
    <row r="271" spans="1:3" x14ac:dyDescent="0.25">
      <c r="A271">
        <f t="shared" si="29"/>
        <v>53.800000000000225</v>
      </c>
      <c r="B271" s="2">
        <f t="shared" si="31"/>
        <v>37.79999999999999</v>
      </c>
      <c r="C271" s="2">
        <f t="shared" si="30"/>
        <v>-0.43999999999999984</v>
      </c>
    </row>
    <row r="272" spans="1:3" x14ac:dyDescent="0.25">
      <c r="A272">
        <f t="shared" si="29"/>
        <v>54.000000000000227</v>
      </c>
      <c r="B272" s="2">
        <f t="shared" si="31"/>
        <v>37.359999999999992</v>
      </c>
      <c r="C272" s="2">
        <f t="shared" si="30"/>
        <v>-0.43999999999999984</v>
      </c>
    </row>
    <row r="273" spans="1:3" x14ac:dyDescent="0.25">
      <c r="A273">
        <f t="shared" si="29"/>
        <v>54.20000000000023</v>
      </c>
      <c r="B273" s="2">
        <f t="shared" si="31"/>
        <v>36.919999999999995</v>
      </c>
      <c r="C273" s="2">
        <f t="shared" si="30"/>
        <v>-0.43999999999999984</v>
      </c>
    </row>
    <row r="274" spans="1:3" x14ac:dyDescent="0.25">
      <c r="A274">
        <f t="shared" si="29"/>
        <v>54.400000000000233</v>
      </c>
      <c r="B274" s="2">
        <f t="shared" si="31"/>
        <v>36.479999999999997</v>
      </c>
      <c r="C274" s="2">
        <f t="shared" si="30"/>
        <v>-0.43999999999999984</v>
      </c>
    </row>
    <row r="275" spans="1:3" x14ac:dyDescent="0.25">
      <c r="A275">
        <f t="shared" si="29"/>
        <v>54.600000000000236</v>
      </c>
      <c r="B275" s="2">
        <f t="shared" si="31"/>
        <v>36.04</v>
      </c>
      <c r="C275" s="2">
        <f t="shared" si="30"/>
        <v>-0.43999999999999984</v>
      </c>
    </row>
    <row r="276" spans="1:3" x14ac:dyDescent="0.25">
      <c r="A276">
        <f t="shared" si="29"/>
        <v>54.800000000000239</v>
      </c>
      <c r="B276" s="2">
        <f t="shared" si="31"/>
        <v>35.6</v>
      </c>
      <c r="C276" s="2">
        <f t="shared" si="30"/>
        <v>-0.43999999999999984</v>
      </c>
    </row>
    <row r="277" spans="1:3" x14ac:dyDescent="0.25">
      <c r="A277">
        <f t="shared" si="29"/>
        <v>55.000000000000242</v>
      </c>
      <c r="B277" s="2">
        <f t="shared" si="31"/>
        <v>35.160000000000004</v>
      </c>
      <c r="C277" s="2">
        <f t="shared" si="30"/>
        <v>0</v>
      </c>
    </row>
    <row r="278" spans="1:3" x14ac:dyDescent="0.25">
      <c r="A278">
        <f t="shared" si="29"/>
        <v>55.200000000000244</v>
      </c>
      <c r="B278" s="2">
        <f t="shared" si="31"/>
        <v>35.160000000000004</v>
      </c>
      <c r="C278" s="2">
        <f t="shared" si="30"/>
        <v>0</v>
      </c>
    </row>
    <row r="279" spans="1:3" x14ac:dyDescent="0.25">
      <c r="A279">
        <f t="shared" si="29"/>
        <v>55.400000000000247</v>
      </c>
      <c r="B279" s="2">
        <f t="shared" si="31"/>
        <v>35.160000000000004</v>
      </c>
      <c r="C279" s="2">
        <f t="shared" si="30"/>
        <v>0</v>
      </c>
    </row>
    <row r="280" spans="1:3" x14ac:dyDescent="0.25">
      <c r="A280">
        <f t="shared" si="29"/>
        <v>55.60000000000025</v>
      </c>
      <c r="B280" s="2">
        <f t="shared" si="31"/>
        <v>35.160000000000004</v>
      </c>
      <c r="C280" s="2">
        <f t="shared" si="30"/>
        <v>0</v>
      </c>
    </row>
    <row r="281" spans="1:3" x14ac:dyDescent="0.25">
      <c r="A281">
        <f t="shared" si="29"/>
        <v>55.800000000000253</v>
      </c>
      <c r="B281" s="2">
        <f t="shared" si="31"/>
        <v>35.160000000000004</v>
      </c>
      <c r="C281" s="2">
        <f t="shared" si="30"/>
        <v>0</v>
      </c>
    </row>
    <row r="282" spans="1:3" x14ac:dyDescent="0.25">
      <c r="A282">
        <f t="shared" si="29"/>
        <v>56.000000000000256</v>
      </c>
      <c r="B282" s="2">
        <f t="shared" si="31"/>
        <v>35.160000000000004</v>
      </c>
      <c r="C282" s="2">
        <f t="shared" si="30"/>
        <v>0</v>
      </c>
    </row>
    <row r="283" spans="1:3" x14ac:dyDescent="0.25">
      <c r="A283">
        <f t="shared" si="29"/>
        <v>56.200000000000259</v>
      </c>
      <c r="B283" s="2">
        <f t="shared" si="31"/>
        <v>35.160000000000004</v>
      </c>
      <c r="C283" s="2">
        <f t="shared" si="30"/>
        <v>0</v>
      </c>
    </row>
    <row r="284" spans="1:3" x14ac:dyDescent="0.25">
      <c r="A284">
        <f t="shared" si="29"/>
        <v>56.400000000000261</v>
      </c>
      <c r="B284" s="2">
        <f t="shared" si="31"/>
        <v>35.160000000000004</v>
      </c>
      <c r="C284" s="2">
        <f t="shared" si="30"/>
        <v>0</v>
      </c>
    </row>
    <row r="285" spans="1:3" x14ac:dyDescent="0.25">
      <c r="A285">
        <f t="shared" si="29"/>
        <v>56.600000000000264</v>
      </c>
      <c r="B285" s="2">
        <f t="shared" si="31"/>
        <v>35.160000000000004</v>
      </c>
      <c r="C285" s="2">
        <f t="shared" si="30"/>
        <v>0</v>
      </c>
    </row>
    <row r="286" spans="1:3" x14ac:dyDescent="0.25">
      <c r="A286">
        <f t="shared" si="29"/>
        <v>56.800000000000267</v>
      </c>
      <c r="B286" s="2">
        <f t="shared" si="31"/>
        <v>35.160000000000004</v>
      </c>
      <c r="C286" s="2">
        <f t="shared" si="30"/>
        <v>0</v>
      </c>
    </row>
    <row r="287" spans="1:3" x14ac:dyDescent="0.25">
      <c r="A287">
        <f t="shared" si="29"/>
        <v>57.00000000000027</v>
      </c>
      <c r="B287" s="2">
        <f t="shared" si="31"/>
        <v>35.160000000000004</v>
      </c>
      <c r="C287" s="2">
        <f t="shared" si="30"/>
        <v>0</v>
      </c>
    </row>
    <row r="288" spans="1:3" x14ac:dyDescent="0.25">
      <c r="A288">
        <f t="shared" si="29"/>
        <v>57.200000000000273</v>
      </c>
      <c r="B288" s="2">
        <f t="shared" si="31"/>
        <v>35.160000000000004</v>
      </c>
      <c r="C288" s="2">
        <f t="shared" si="30"/>
        <v>0</v>
      </c>
    </row>
    <row r="289" spans="1:3" x14ac:dyDescent="0.25">
      <c r="A289">
        <f t="shared" si="29"/>
        <v>57.400000000000276</v>
      </c>
      <c r="B289" s="2">
        <f t="shared" si="31"/>
        <v>35.160000000000004</v>
      </c>
      <c r="C289" s="2">
        <f t="shared" si="30"/>
        <v>0</v>
      </c>
    </row>
    <row r="290" spans="1:3" x14ac:dyDescent="0.25">
      <c r="A290">
        <f t="shared" si="29"/>
        <v>57.600000000000279</v>
      </c>
      <c r="B290" s="2">
        <f t="shared" si="31"/>
        <v>35.160000000000004</v>
      </c>
      <c r="C290" s="2">
        <f t="shared" si="30"/>
        <v>0</v>
      </c>
    </row>
    <row r="291" spans="1:3" x14ac:dyDescent="0.25">
      <c r="A291">
        <f t="shared" si="29"/>
        <v>57.800000000000281</v>
      </c>
      <c r="B291" s="2">
        <f t="shared" si="31"/>
        <v>35.160000000000004</v>
      </c>
      <c r="C291" s="2">
        <f t="shared" si="30"/>
        <v>0</v>
      </c>
    </row>
    <row r="292" spans="1:3" x14ac:dyDescent="0.25">
      <c r="A292">
        <f t="shared" si="29"/>
        <v>58.000000000000284</v>
      </c>
      <c r="B292" s="2">
        <f t="shared" si="31"/>
        <v>35.160000000000004</v>
      </c>
      <c r="C292" s="2">
        <f t="shared" si="30"/>
        <v>0</v>
      </c>
    </row>
    <row r="293" spans="1:3" x14ac:dyDescent="0.25">
      <c r="A293">
        <f t="shared" si="29"/>
        <v>58.200000000000287</v>
      </c>
      <c r="B293" s="2">
        <f t="shared" si="31"/>
        <v>35.160000000000004</v>
      </c>
      <c r="C293" s="2">
        <f t="shared" si="30"/>
        <v>0</v>
      </c>
    </row>
    <row r="294" spans="1:3" x14ac:dyDescent="0.25">
      <c r="A294">
        <f t="shared" si="29"/>
        <v>58.40000000000029</v>
      </c>
      <c r="B294" s="2">
        <f t="shared" si="31"/>
        <v>35.160000000000004</v>
      </c>
      <c r="C294" s="2">
        <f t="shared" si="30"/>
        <v>0</v>
      </c>
    </row>
    <row r="295" spans="1:3" x14ac:dyDescent="0.25">
      <c r="A295">
        <f t="shared" si="29"/>
        <v>58.600000000000293</v>
      </c>
      <c r="B295" s="2">
        <f t="shared" si="31"/>
        <v>35.160000000000004</v>
      </c>
      <c r="C295" s="2">
        <f t="shared" si="30"/>
        <v>0</v>
      </c>
    </row>
    <row r="296" spans="1:3" x14ac:dyDescent="0.25">
      <c r="A296">
        <f t="shared" si="29"/>
        <v>58.800000000000296</v>
      </c>
      <c r="B296" s="2">
        <f t="shared" si="31"/>
        <v>35.160000000000004</v>
      </c>
      <c r="C296" s="2">
        <f t="shared" si="30"/>
        <v>0</v>
      </c>
    </row>
    <row r="297" spans="1:3" x14ac:dyDescent="0.25">
      <c r="A297">
        <f t="shared" si="29"/>
        <v>59.000000000000298</v>
      </c>
      <c r="B297" s="2">
        <f t="shared" si="31"/>
        <v>35.160000000000004</v>
      </c>
      <c r="C297" s="2">
        <f t="shared" si="30"/>
        <v>0</v>
      </c>
    </row>
    <row r="298" spans="1:3" x14ac:dyDescent="0.25">
      <c r="A298">
        <f t="shared" si="29"/>
        <v>59.200000000000301</v>
      </c>
      <c r="B298" s="2">
        <f t="shared" si="31"/>
        <v>35.160000000000004</v>
      </c>
      <c r="C298" s="2">
        <f t="shared" si="30"/>
        <v>0</v>
      </c>
    </row>
    <row r="299" spans="1:3" x14ac:dyDescent="0.25">
      <c r="A299">
        <f t="shared" si="29"/>
        <v>59.400000000000304</v>
      </c>
      <c r="B299" s="2">
        <f t="shared" si="31"/>
        <v>35.160000000000004</v>
      </c>
      <c r="C299" s="2">
        <f t="shared" si="30"/>
        <v>0</v>
      </c>
    </row>
    <row r="300" spans="1:3" x14ac:dyDescent="0.25">
      <c r="A300">
        <f t="shared" si="29"/>
        <v>59.600000000000307</v>
      </c>
      <c r="B300" s="2">
        <f t="shared" si="31"/>
        <v>35.160000000000004</v>
      </c>
      <c r="C300" s="2">
        <f t="shared" si="30"/>
        <v>0</v>
      </c>
    </row>
    <row r="301" spans="1:3" x14ac:dyDescent="0.25">
      <c r="A301">
        <f t="shared" si="29"/>
        <v>59.80000000000031</v>
      </c>
      <c r="B301" s="2">
        <f t="shared" si="31"/>
        <v>35.160000000000004</v>
      </c>
      <c r="C301" s="2">
        <f t="shared" si="30"/>
        <v>0</v>
      </c>
    </row>
    <row r="302" spans="1:3" x14ac:dyDescent="0.25">
      <c r="A302">
        <f t="shared" si="29"/>
        <v>60.000000000000313</v>
      </c>
      <c r="B302" s="2">
        <f t="shared" si="31"/>
        <v>35.160000000000004</v>
      </c>
      <c r="C302" s="2">
        <f t="shared" si="30"/>
        <v>0</v>
      </c>
    </row>
    <row r="303" spans="1:3" x14ac:dyDescent="0.25">
      <c r="A303">
        <f t="shared" ref="A303:A366" si="32">A302+0.2</f>
        <v>60.200000000000315</v>
      </c>
      <c r="B303" s="2">
        <f t="shared" si="31"/>
        <v>35.160000000000004</v>
      </c>
      <c r="C303" s="2">
        <f t="shared" si="30"/>
        <v>0</v>
      </c>
    </row>
    <row r="304" spans="1:3" x14ac:dyDescent="0.25">
      <c r="A304">
        <f t="shared" si="32"/>
        <v>60.400000000000318</v>
      </c>
      <c r="B304" s="2">
        <f t="shared" si="31"/>
        <v>35.160000000000004</v>
      </c>
      <c r="C304" s="2">
        <f t="shared" si="30"/>
        <v>0</v>
      </c>
    </row>
    <row r="305" spans="1:3" x14ac:dyDescent="0.25">
      <c r="A305">
        <f t="shared" si="32"/>
        <v>60.600000000000321</v>
      </c>
      <c r="B305" s="2">
        <f t="shared" si="31"/>
        <v>35.160000000000004</v>
      </c>
      <c r="C305" s="2">
        <f t="shared" si="30"/>
        <v>0</v>
      </c>
    </row>
    <row r="306" spans="1:3" x14ac:dyDescent="0.25">
      <c r="A306">
        <f t="shared" si="32"/>
        <v>60.800000000000324</v>
      </c>
      <c r="B306" s="2">
        <f t="shared" si="31"/>
        <v>35.160000000000004</v>
      </c>
      <c r="C306" s="2">
        <f t="shared" si="30"/>
        <v>0</v>
      </c>
    </row>
    <row r="307" spans="1:3" x14ac:dyDescent="0.25">
      <c r="A307">
        <f t="shared" si="32"/>
        <v>61.000000000000327</v>
      </c>
      <c r="B307" s="2">
        <f t="shared" si="31"/>
        <v>35.160000000000004</v>
      </c>
      <c r="C307" s="2">
        <f t="shared" si="30"/>
        <v>0</v>
      </c>
    </row>
    <row r="308" spans="1:3" x14ac:dyDescent="0.25">
      <c r="A308">
        <f t="shared" si="32"/>
        <v>61.20000000000033</v>
      </c>
      <c r="B308" s="2">
        <f t="shared" si="31"/>
        <v>35.160000000000004</v>
      </c>
      <c r="C308" s="2">
        <f t="shared" si="30"/>
        <v>0</v>
      </c>
    </row>
    <row r="309" spans="1:3" x14ac:dyDescent="0.25">
      <c r="A309">
        <f t="shared" si="32"/>
        <v>61.400000000000333</v>
      </c>
      <c r="B309" s="2">
        <f t="shared" si="31"/>
        <v>35.160000000000004</v>
      </c>
      <c r="C309" s="2">
        <f t="shared" si="30"/>
        <v>0</v>
      </c>
    </row>
    <row r="310" spans="1:3" x14ac:dyDescent="0.25">
      <c r="A310">
        <f t="shared" si="32"/>
        <v>61.600000000000335</v>
      </c>
      <c r="B310" s="2">
        <f t="shared" si="31"/>
        <v>35.160000000000004</v>
      </c>
      <c r="C310" s="2">
        <f t="shared" si="30"/>
        <v>0</v>
      </c>
    </row>
    <row r="311" spans="1:3" x14ac:dyDescent="0.25">
      <c r="A311">
        <f t="shared" si="32"/>
        <v>61.800000000000338</v>
      </c>
      <c r="B311" s="2">
        <f t="shared" si="31"/>
        <v>35.160000000000004</v>
      </c>
      <c r="C311" s="2">
        <f t="shared" si="30"/>
        <v>0</v>
      </c>
    </row>
    <row r="312" spans="1:3" x14ac:dyDescent="0.25">
      <c r="A312">
        <f t="shared" si="32"/>
        <v>62.000000000000341</v>
      </c>
      <c r="B312" s="2">
        <f t="shared" si="31"/>
        <v>35.160000000000004</v>
      </c>
      <c r="C312" s="2">
        <f t="shared" si="30"/>
        <v>0</v>
      </c>
    </row>
    <row r="313" spans="1:3" x14ac:dyDescent="0.25">
      <c r="A313">
        <f t="shared" si="32"/>
        <v>62.200000000000344</v>
      </c>
      <c r="B313" s="2">
        <f t="shared" si="31"/>
        <v>35.160000000000004</v>
      </c>
      <c r="C313" s="2">
        <f t="shared" si="30"/>
        <v>0</v>
      </c>
    </row>
    <row r="314" spans="1:3" x14ac:dyDescent="0.25">
      <c r="A314">
        <f t="shared" si="32"/>
        <v>62.400000000000347</v>
      </c>
      <c r="B314" s="2">
        <f t="shared" si="31"/>
        <v>35.160000000000004</v>
      </c>
      <c r="C314" s="2">
        <f t="shared" si="30"/>
        <v>0</v>
      </c>
    </row>
    <row r="315" spans="1:3" x14ac:dyDescent="0.25">
      <c r="A315">
        <f t="shared" si="32"/>
        <v>62.60000000000035</v>
      </c>
      <c r="B315" s="2">
        <f t="shared" si="31"/>
        <v>35.160000000000004</v>
      </c>
      <c r="C315" s="2">
        <f t="shared" si="30"/>
        <v>0</v>
      </c>
    </row>
    <row r="316" spans="1:3" x14ac:dyDescent="0.25">
      <c r="A316">
        <f t="shared" si="32"/>
        <v>62.800000000000352</v>
      </c>
      <c r="B316" s="2">
        <f t="shared" si="31"/>
        <v>35.160000000000004</v>
      </c>
      <c r="C316" s="2">
        <f t="shared" si="30"/>
        <v>0</v>
      </c>
    </row>
    <row r="317" spans="1:3" x14ac:dyDescent="0.25">
      <c r="A317">
        <f t="shared" si="32"/>
        <v>63.000000000000355</v>
      </c>
      <c r="B317" s="2">
        <f t="shared" si="31"/>
        <v>35.160000000000004</v>
      </c>
      <c r="C317" s="2">
        <f t="shared" si="30"/>
        <v>0</v>
      </c>
    </row>
    <row r="318" spans="1:3" x14ac:dyDescent="0.25">
      <c r="A318">
        <f t="shared" si="32"/>
        <v>63.200000000000358</v>
      </c>
      <c r="B318" s="2">
        <f t="shared" si="31"/>
        <v>35.160000000000004</v>
      </c>
      <c r="C318" s="2">
        <f t="shared" si="30"/>
        <v>0</v>
      </c>
    </row>
    <row r="319" spans="1:3" x14ac:dyDescent="0.25">
      <c r="A319">
        <f t="shared" si="32"/>
        <v>63.400000000000361</v>
      </c>
      <c r="B319" s="2">
        <f t="shared" si="31"/>
        <v>35.160000000000004</v>
      </c>
      <c r="C319" s="2">
        <f t="shared" si="30"/>
        <v>0</v>
      </c>
    </row>
    <row r="320" spans="1:3" x14ac:dyDescent="0.25">
      <c r="A320">
        <f t="shared" si="32"/>
        <v>63.600000000000364</v>
      </c>
      <c r="B320" s="2">
        <f t="shared" si="31"/>
        <v>35.160000000000004</v>
      </c>
      <c r="C320" s="2">
        <f t="shared" si="30"/>
        <v>0</v>
      </c>
    </row>
    <row r="321" spans="1:3" x14ac:dyDescent="0.25">
      <c r="A321">
        <f t="shared" si="32"/>
        <v>63.800000000000367</v>
      </c>
      <c r="B321" s="2">
        <f t="shared" si="31"/>
        <v>35.160000000000004</v>
      </c>
      <c r="C321" s="2">
        <f t="shared" si="30"/>
        <v>0</v>
      </c>
    </row>
    <row r="322" spans="1:3" x14ac:dyDescent="0.25">
      <c r="A322">
        <f t="shared" si="32"/>
        <v>64.000000000000369</v>
      </c>
      <c r="B322" s="2">
        <f t="shared" si="31"/>
        <v>35.160000000000004</v>
      </c>
      <c r="C322" s="2">
        <f t="shared" si="30"/>
        <v>0</v>
      </c>
    </row>
    <row r="323" spans="1:3" x14ac:dyDescent="0.25">
      <c r="A323">
        <f t="shared" si="32"/>
        <v>64.200000000000372</v>
      </c>
      <c r="B323" s="2">
        <f t="shared" si="31"/>
        <v>35.160000000000004</v>
      </c>
      <c r="C323" s="2">
        <f t="shared" ref="C323:C386" si="33">INDEX($K$3:$K$40,MATCH(A323,$H$2:$H$40,1))</f>
        <v>0</v>
      </c>
    </row>
    <row r="324" spans="1:3" x14ac:dyDescent="0.25">
      <c r="A324">
        <f t="shared" si="32"/>
        <v>64.400000000000375</v>
      </c>
      <c r="B324" s="2">
        <f t="shared" ref="B324:B387" si="34">B323+C323</f>
        <v>35.160000000000004</v>
      </c>
      <c r="C324" s="2">
        <f t="shared" si="33"/>
        <v>0</v>
      </c>
    </row>
    <row r="325" spans="1:3" x14ac:dyDescent="0.25">
      <c r="A325">
        <f t="shared" si="32"/>
        <v>64.600000000000378</v>
      </c>
      <c r="B325" s="2">
        <f t="shared" si="34"/>
        <v>35.160000000000004</v>
      </c>
      <c r="C325" s="2">
        <f t="shared" si="33"/>
        <v>0</v>
      </c>
    </row>
    <row r="326" spans="1:3" x14ac:dyDescent="0.25">
      <c r="A326">
        <f t="shared" si="32"/>
        <v>64.800000000000381</v>
      </c>
      <c r="B326" s="2">
        <f t="shared" si="34"/>
        <v>35.160000000000004</v>
      </c>
      <c r="C326" s="2">
        <f t="shared" si="33"/>
        <v>0</v>
      </c>
    </row>
    <row r="327" spans="1:3" x14ac:dyDescent="0.25">
      <c r="A327">
        <f t="shared" si="32"/>
        <v>65.000000000000384</v>
      </c>
      <c r="B327" s="2">
        <f t="shared" si="34"/>
        <v>35.160000000000004</v>
      </c>
      <c r="C327" s="2">
        <f t="shared" si="33"/>
        <v>1.44</v>
      </c>
    </row>
    <row r="328" spans="1:3" x14ac:dyDescent="0.25">
      <c r="A328">
        <f t="shared" si="32"/>
        <v>65.200000000000387</v>
      </c>
      <c r="B328" s="2">
        <f t="shared" si="34"/>
        <v>36.6</v>
      </c>
      <c r="C328" s="2">
        <f t="shared" si="33"/>
        <v>1.44</v>
      </c>
    </row>
    <row r="329" spans="1:3" x14ac:dyDescent="0.25">
      <c r="A329">
        <f t="shared" si="32"/>
        <v>65.400000000000389</v>
      </c>
      <c r="B329" s="2">
        <f t="shared" si="34"/>
        <v>38.04</v>
      </c>
      <c r="C329" s="2">
        <f t="shared" si="33"/>
        <v>1.44</v>
      </c>
    </row>
    <row r="330" spans="1:3" x14ac:dyDescent="0.25">
      <c r="A330">
        <f t="shared" si="32"/>
        <v>65.600000000000392</v>
      </c>
      <c r="B330" s="2">
        <f t="shared" si="34"/>
        <v>39.479999999999997</v>
      </c>
      <c r="C330" s="2">
        <f t="shared" si="33"/>
        <v>1.44</v>
      </c>
    </row>
    <row r="331" spans="1:3" x14ac:dyDescent="0.25">
      <c r="A331">
        <f t="shared" si="32"/>
        <v>65.800000000000395</v>
      </c>
      <c r="B331" s="2">
        <f t="shared" si="34"/>
        <v>40.919999999999995</v>
      </c>
      <c r="C331" s="2">
        <f t="shared" si="33"/>
        <v>1.44</v>
      </c>
    </row>
    <row r="332" spans="1:3" x14ac:dyDescent="0.25">
      <c r="A332">
        <f t="shared" si="32"/>
        <v>66.000000000000398</v>
      </c>
      <c r="B332" s="2">
        <f t="shared" si="34"/>
        <v>42.359999999999992</v>
      </c>
      <c r="C332" s="2">
        <f t="shared" si="33"/>
        <v>1.44</v>
      </c>
    </row>
    <row r="333" spans="1:3" x14ac:dyDescent="0.25">
      <c r="A333">
        <f t="shared" si="32"/>
        <v>66.200000000000401</v>
      </c>
      <c r="B333" s="2">
        <f t="shared" si="34"/>
        <v>43.79999999999999</v>
      </c>
      <c r="C333" s="2">
        <f t="shared" si="33"/>
        <v>1.44</v>
      </c>
    </row>
    <row r="334" spans="1:3" x14ac:dyDescent="0.25">
      <c r="A334">
        <f t="shared" si="32"/>
        <v>66.400000000000404</v>
      </c>
      <c r="B334" s="2">
        <f t="shared" si="34"/>
        <v>45.239999999999988</v>
      </c>
      <c r="C334" s="2">
        <f t="shared" si="33"/>
        <v>1.44</v>
      </c>
    </row>
    <row r="335" spans="1:3" x14ac:dyDescent="0.25">
      <c r="A335">
        <f t="shared" si="32"/>
        <v>66.600000000000406</v>
      </c>
      <c r="B335" s="2">
        <f t="shared" si="34"/>
        <v>46.679999999999986</v>
      </c>
      <c r="C335" s="2">
        <f t="shared" si="33"/>
        <v>1.44</v>
      </c>
    </row>
    <row r="336" spans="1:3" x14ac:dyDescent="0.25">
      <c r="A336">
        <f t="shared" si="32"/>
        <v>66.800000000000409</v>
      </c>
      <c r="B336" s="2">
        <f t="shared" si="34"/>
        <v>48.119999999999983</v>
      </c>
      <c r="C336" s="2">
        <f t="shared" si="33"/>
        <v>1.44</v>
      </c>
    </row>
    <row r="337" spans="1:3" x14ac:dyDescent="0.25">
      <c r="A337">
        <f t="shared" si="32"/>
        <v>67.000000000000412</v>
      </c>
      <c r="B337" s="2">
        <f t="shared" si="34"/>
        <v>49.559999999999981</v>
      </c>
      <c r="C337" s="2">
        <f t="shared" si="33"/>
        <v>1.44</v>
      </c>
    </row>
    <row r="338" spans="1:3" x14ac:dyDescent="0.25">
      <c r="A338">
        <f t="shared" si="32"/>
        <v>67.200000000000415</v>
      </c>
      <c r="B338" s="2">
        <f t="shared" si="34"/>
        <v>50.999999999999979</v>
      </c>
      <c r="C338" s="2">
        <f t="shared" si="33"/>
        <v>1.44</v>
      </c>
    </row>
    <row r="339" spans="1:3" x14ac:dyDescent="0.25">
      <c r="A339">
        <f t="shared" si="32"/>
        <v>67.400000000000418</v>
      </c>
      <c r="B339" s="2">
        <f t="shared" si="34"/>
        <v>52.439999999999976</v>
      </c>
      <c r="C339" s="2">
        <f t="shared" si="33"/>
        <v>1.44</v>
      </c>
    </row>
    <row r="340" spans="1:3" x14ac:dyDescent="0.25">
      <c r="A340">
        <f t="shared" si="32"/>
        <v>67.600000000000421</v>
      </c>
      <c r="B340" s="2">
        <f t="shared" si="34"/>
        <v>53.879999999999974</v>
      </c>
      <c r="C340" s="2">
        <f t="shared" si="33"/>
        <v>1.44</v>
      </c>
    </row>
    <row r="341" spans="1:3" x14ac:dyDescent="0.25">
      <c r="A341">
        <f t="shared" si="32"/>
        <v>67.800000000000423</v>
      </c>
      <c r="B341" s="2">
        <f t="shared" si="34"/>
        <v>55.319999999999972</v>
      </c>
      <c r="C341" s="2">
        <f t="shared" si="33"/>
        <v>1.44</v>
      </c>
    </row>
    <row r="342" spans="1:3" x14ac:dyDescent="0.25">
      <c r="A342">
        <f t="shared" si="32"/>
        <v>68.000000000000426</v>
      </c>
      <c r="B342" s="2">
        <f t="shared" si="34"/>
        <v>56.75999999999997</v>
      </c>
      <c r="C342" s="2">
        <f t="shared" si="33"/>
        <v>1.44</v>
      </c>
    </row>
    <row r="343" spans="1:3" x14ac:dyDescent="0.25">
      <c r="A343">
        <f t="shared" si="32"/>
        <v>68.200000000000429</v>
      </c>
      <c r="B343" s="2">
        <f t="shared" si="34"/>
        <v>58.199999999999967</v>
      </c>
      <c r="C343" s="2">
        <f t="shared" si="33"/>
        <v>1.44</v>
      </c>
    </row>
    <row r="344" spans="1:3" x14ac:dyDescent="0.25">
      <c r="A344">
        <f t="shared" si="32"/>
        <v>68.400000000000432</v>
      </c>
      <c r="B344" s="2">
        <f t="shared" si="34"/>
        <v>59.639999999999965</v>
      </c>
      <c r="C344" s="2">
        <f t="shared" si="33"/>
        <v>1.44</v>
      </c>
    </row>
    <row r="345" spans="1:3" x14ac:dyDescent="0.25">
      <c r="A345">
        <f t="shared" si="32"/>
        <v>68.600000000000435</v>
      </c>
      <c r="B345" s="2">
        <f t="shared" si="34"/>
        <v>61.079999999999963</v>
      </c>
      <c r="C345" s="2">
        <f t="shared" si="33"/>
        <v>1.44</v>
      </c>
    </row>
    <row r="346" spans="1:3" x14ac:dyDescent="0.25">
      <c r="A346">
        <f t="shared" si="32"/>
        <v>68.800000000000438</v>
      </c>
      <c r="B346" s="2">
        <f t="shared" si="34"/>
        <v>62.51999999999996</v>
      </c>
      <c r="C346" s="2">
        <f t="shared" si="33"/>
        <v>1.44</v>
      </c>
    </row>
    <row r="347" spans="1:3" x14ac:dyDescent="0.25">
      <c r="A347">
        <f t="shared" si="32"/>
        <v>69.000000000000441</v>
      </c>
      <c r="B347" s="2">
        <f t="shared" si="34"/>
        <v>63.959999999999958</v>
      </c>
      <c r="C347" s="2">
        <f t="shared" si="33"/>
        <v>1.44</v>
      </c>
    </row>
    <row r="348" spans="1:3" x14ac:dyDescent="0.25">
      <c r="A348">
        <f t="shared" si="32"/>
        <v>69.200000000000443</v>
      </c>
      <c r="B348" s="2">
        <f t="shared" si="34"/>
        <v>65.399999999999963</v>
      </c>
      <c r="C348" s="2">
        <f t="shared" si="33"/>
        <v>1.44</v>
      </c>
    </row>
    <row r="349" spans="1:3" x14ac:dyDescent="0.25">
      <c r="A349">
        <f t="shared" si="32"/>
        <v>69.400000000000446</v>
      </c>
      <c r="B349" s="2">
        <f t="shared" si="34"/>
        <v>66.839999999999961</v>
      </c>
      <c r="C349" s="2">
        <f t="shared" si="33"/>
        <v>1.44</v>
      </c>
    </row>
    <row r="350" spans="1:3" x14ac:dyDescent="0.25">
      <c r="A350">
        <f t="shared" si="32"/>
        <v>69.600000000000449</v>
      </c>
      <c r="B350" s="2">
        <f t="shared" si="34"/>
        <v>68.279999999999959</v>
      </c>
      <c r="C350" s="2">
        <f t="shared" si="33"/>
        <v>1.44</v>
      </c>
    </row>
    <row r="351" spans="1:3" x14ac:dyDescent="0.25">
      <c r="A351">
        <f t="shared" si="32"/>
        <v>69.800000000000452</v>
      </c>
      <c r="B351" s="2">
        <f t="shared" si="34"/>
        <v>69.719999999999956</v>
      </c>
      <c r="C351" s="2">
        <f t="shared" si="33"/>
        <v>1.44</v>
      </c>
    </row>
    <row r="352" spans="1:3" x14ac:dyDescent="0.25">
      <c r="A352">
        <f t="shared" si="32"/>
        <v>70.000000000000455</v>
      </c>
      <c r="B352" s="2">
        <f t="shared" si="34"/>
        <v>71.159999999999954</v>
      </c>
      <c r="C352" s="2">
        <f t="shared" si="33"/>
        <v>1.44</v>
      </c>
    </row>
    <row r="353" spans="1:3" x14ac:dyDescent="0.25">
      <c r="A353">
        <f t="shared" si="32"/>
        <v>70.200000000000458</v>
      </c>
      <c r="B353" s="2">
        <f t="shared" si="34"/>
        <v>72.599999999999952</v>
      </c>
      <c r="C353" s="2">
        <f t="shared" si="33"/>
        <v>1.44</v>
      </c>
    </row>
    <row r="354" spans="1:3" x14ac:dyDescent="0.25">
      <c r="A354">
        <f t="shared" si="32"/>
        <v>70.40000000000046</v>
      </c>
      <c r="B354" s="2">
        <f t="shared" si="34"/>
        <v>74.039999999999949</v>
      </c>
      <c r="C354" s="2">
        <f t="shared" si="33"/>
        <v>1.44</v>
      </c>
    </row>
    <row r="355" spans="1:3" x14ac:dyDescent="0.25">
      <c r="A355">
        <f t="shared" si="32"/>
        <v>70.600000000000463</v>
      </c>
      <c r="B355" s="2">
        <f t="shared" si="34"/>
        <v>75.479999999999947</v>
      </c>
      <c r="C355" s="2">
        <f t="shared" si="33"/>
        <v>1.44</v>
      </c>
    </row>
    <row r="356" spans="1:3" x14ac:dyDescent="0.25">
      <c r="A356">
        <f t="shared" si="32"/>
        <v>70.800000000000466</v>
      </c>
      <c r="B356" s="2">
        <f t="shared" si="34"/>
        <v>76.919999999999945</v>
      </c>
      <c r="C356" s="2">
        <f t="shared" si="33"/>
        <v>1.44</v>
      </c>
    </row>
    <row r="357" spans="1:3" x14ac:dyDescent="0.25">
      <c r="A357">
        <f t="shared" si="32"/>
        <v>71.000000000000469</v>
      </c>
      <c r="B357" s="2">
        <f t="shared" si="34"/>
        <v>78.359999999999943</v>
      </c>
      <c r="C357" s="2">
        <f t="shared" si="33"/>
        <v>1.44</v>
      </c>
    </row>
    <row r="358" spans="1:3" x14ac:dyDescent="0.25">
      <c r="A358">
        <f t="shared" si="32"/>
        <v>71.200000000000472</v>
      </c>
      <c r="B358" s="2">
        <f t="shared" si="34"/>
        <v>79.79999999999994</v>
      </c>
      <c r="C358" s="2">
        <f t="shared" si="33"/>
        <v>1.44</v>
      </c>
    </row>
    <row r="359" spans="1:3" x14ac:dyDescent="0.25">
      <c r="A359">
        <f t="shared" si="32"/>
        <v>71.400000000000475</v>
      </c>
      <c r="B359" s="2">
        <f t="shared" si="34"/>
        <v>81.239999999999938</v>
      </c>
      <c r="C359" s="2">
        <f t="shared" si="33"/>
        <v>1.44</v>
      </c>
    </row>
    <row r="360" spans="1:3" x14ac:dyDescent="0.25">
      <c r="A360">
        <f t="shared" si="32"/>
        <v>71.600000000000477</v>
      </c>
      <c r="B360" s="2">
        <f t="shared" si="34"/>
        <v>82.679999999999936</v>
      </c>
      <c r="C360" s="2">
        <f t="shared" si="33"/>
        <v>1.44</v>
      </c>
    </row>
    <row r="361" spans="1:3" x14ac:dyDescent="0.25">
      <c r="A361">
        <f t="shared" si="32"/>
        <v>71.80000000000048</v>
      </c>
      <c r="B361" s="2">
        <f t="shared" si="34"/>
        <v>84.119999999999933</v>
      </c>
      <c r="C361" s="2">
        <f t="shared" si="33"/>
        <v>1.44</v>
      </c>
    </row>
    <row r="362" spans="1:3" x14ac:dyDescent="0.25">
      <c r="A362">
        <f t="shared" si="32"/>
        <v>72.000000000000483</v>
      </c>
      <c r="B362" s="2">
        <f t="shared" si="34"/>
        <v>85.559999999999931</v>
      </c>
      <c r="C362" s="2">
        <f t="shared" si="33"/>
        <v>1.44</v>
      </c>
    </row>
    <row r="363" spans="1:3" x14ac:dyDescent="0.25">
      <c r="A363">
        <f t="shared" si="32"/>
        <v>72.200000000000486</v>
      </c>
      <c r="B363" s="2">
        <f t="shared" si="34"/>
        <v>86.999999999999929</v>
      </c>
      <c r="C363" s="2">
        <f t="shared" si="33"/>
        <v>1.44</v>
      </c>
    </row>
    <row r="364" spans="1:3" x14ac:dyDescent="0.25">
      <c r="A364">
        <f t="shared" si="32"/>
        <v>72.400000000000489</v>
      </c>
      <c r="B364" s="2">
        <f t="shared" si="34"/>
        <v>88.439999999999927</v>
      </c>
      <c r="C364" s="2">
        <f t="shared" si="33"/>
        <v>1.44</v>
      </c>
    </row>
    <row r="365" spans="1:3" x14ac:dyDescent="0.25">
      <c r="A365">
        <f t="shared" si="32"/>
        <v>72.600000000000492</v>
      </c>
      <c r="B365" s="2">
        <f t="shared" si="34"/>
        <v>89.879999999999924</v>
      </c>
      <c r="C365" s="2">
        <f t="shared" si="33"/>
        <v>1.44</v>
      </c>
    </row>
    <row r="366" spans="1:3" x14ac:dyDescent="0.25">
      <c r="A366">
        <f t="shared" si="32"/>
        <v>72.800000000000495</v>
      </c>
      <c r="B366" s="2">
        <f t="shared" si="34"/>
        <v>91.319999999999922</v>
      </c>
      <c r="C366" s="2">
        <f t="shared" si="33"/>
        <v>1.44</v>
      </c>
    </row>
    <row r="367" spans="1:3" x14ac:dyDescent="0.25">
      <c r="A367">
        <f t="shared" ref="A367:A430" si="35">A366+0.2</f>
        <v>73.000000000000497</v>
      </c>
      <c r="B367" s="2">
        <f t="shared" si="34"/>
        <v>92.75999999999992</v>
      </c>
      <c r="C367" s="2">
        <f t="shared" si="33"/>
        <v>1.44</v>
      </c>
    </row>
    <row r="368" spans="1:3" x14ac:dyDescent="0.25">
      <c r="A368">
        <f t="shared" si="35"/>
        <v>73.2000000000005</v>
      </c>
      <c r="B368" s="2">
        <f t="shared" si="34"/>
        <v>94.199999999999918</v>
      </c>
      <c r="C368" s="2">
        <f t="shared" si="33"/>
        <v>1.44</v>
      </c>
    </row>
    <row r="369" spans="1:3" x14ac:dyDescent="0.25">
      <c r="A369">
        <f t="shared" si="35"/>
        <v>73.400000000000503</v>
      </c>
      <c r="B369" s="2">
        <f t="shared" si="34"/>
        <v>95.639999999999915</v>
      </c>
      <c r="C369" s="2">
        <f t="shared" si="33"/>
        <v>1.44</v>
      </c>
    </row>
    <row r="370" spans="1:3" x14ac:dyDescent="0.25">
      <c r="A370">
        <f t="shared" si="35"/>
        <v>73.600000000000506</v>
      </c>
      <c r="B370" s="2">
        <f t="shared" si="34"/>
        <v>97.079999999999913</v>
      </c>
      <c r="C370" s="2">
        <f t="shared" si="33"/>
        <v>1.44</v>
      </c>
    </row>
    <row r="371" spans="1:3" x14ac:dyDescent="0.25">
      <c r="A371">
        <f t="shared" si="35"/>
        <v>73.800000000000509</v>
      </c>
      <c r="B371" s="2">
        <f t="shared" si="34"/>
        <v>98.519999999999911</v>
      </c>
      <c r="C371" s="2">
        <f t="shared" si="33"/>
        <v>1.44</v>
      </c>
    </row>
    <row r="372" spans="1:3" x14ac:dyDescent="0.25">
      <c r="A372">
        <f t="shared" si="35"/>
        <v>74.000000000000512</v>
      </c>
      <c r="B372" s="2">
        <f t="shared" si="34"/>
        <v>99.959999999999908</v>
      </c>
      <c r="C372" s="2">
        <f t="shared" si="33"/>
        <v>1.44</v>
      </c>
    </row>
    <row r="373" spans="1:3" x14ac:dyDescent="0.25">
      <c r="A373">
        <f t="shared" si="35"/>
        <v>74.200000000000514</v>
      </c>
      <c r="B373" s="2">
        <f t="shared" si="34"/>
        <v>101.39999999999991</v>
      </c>
      <c r="C373" s="2">
        <f t="shared" si="33"/>
        <v>1.44</v>
      </c>
    </row>
    <row r="374" spans="1:3" x14ac:dyDescent="0.25">
      <c r="A374">
        <f t="shared" si="35"/>
        <v>74.400000000000517</v>
      </c>
      <c r="B374" s="2">
        <f t="shared" si="34"/>
        <v>102.8399999999999</v>
      </c>
      <c r="C374" s="2">
        <f t="shared" si="33"/>
        <v>1.44</v>
      </c>
    </row>
    <row r="375" spans="1:3" x14ac:dyDescent="0.25">
      <c r="A375">
        <f t="shared" si="35"/>
        <v>74.60000000000052</v>
      </c>
      <c r="B375" s="2">
        <f t="shared" si="34"/>
        <v>104.2799999999999</v>
      </c>
      <c r="C375" s="2">
        <f t="shared" si="33"/>
        <v>1.44</v>
      </c>
    </row>
    <row r="376" spans="1:3" x14ac:dyDescent="0.25">
      <c r="A376">
        <f t="shared" si="35"/>
        <v>74.800000000000523</v>
      </c>
      <c r="B376" s="2">
        <f t="shared" si="34"/>
        <v>105.7199999999999</v>
      </c>
      <c r="C376" s="2">
        <f t="shared" si="33"/>
        <v>1.44</v>
      </c>
    </row>
    <row r="377" spans="1:3" x14ac:dyDescent="0.25">
      <c r="A377">
        <f t="shared" si="35"/>
        <v>75.000000000000526</v>
      </c>
      <c r="B377" s="2">
        <f t="shared" si="34"/>
        <v>107.1599999999999</v>
      </c>
      <c r="C377" s="2">
        <f t="shared" si="33"/>
        <v>0</v>
      </c>
    </row>
    <row r="378" spans="1:3" x14ac:dyDescent="0.25">
      <c r="A378">
        <f t="shared" si="35"/>
        <v>75.200000000000529</v>
      </c>
      <c r="B378" s="2">
        <f t="shared" si="34"/>
        <v>107.1599999999999</v>
      </c>
      <c r="C378" s="2">
        <f t="shared" si="33"/>
        <v>0</v>
      </c>
    </row>
    <row r="379" spans="1:3" x14ac:dyDescent="0.25">
      <c r="A379">
        <f t="shared" si="35"/>
        <v>75.400000000000531</v>
      </c>
      <c r="B379" s="2">
        <f t="shared" si="34"/>
        <v>107.1599999999999</v>
      </c>
      <c r="C379" s="2">
        <f t="shared" si="33"/>
        <v>0</v>
      </c>
    </row>
    <row r="380" spans="1:3" x14ac:dyDescent="0.25">
      <c r="A380">
        <f t="shared" si="35"/>
        <v>75.600000000000534</v>
      </c>
      <c r="B380" s="2">
        <f t="shared" si="34"/>
        <v>107.1599999999999</v>
      </c>
      <c r="C380" s="2">
        <f t="shared" si="33"/>
        <v>0</v>
      </c>
    </row>
    <row r="381" spans="1:3" x14ac:dyDescent="0.25">
      <c r="A381">
        <f t="shared" si="35"/>
        <v>75.800000000000537</v>
      </c>
      <c r="B381" s="2">
        <f t="shared" si="34"/>
        <v>107.1599999999999</v>
      </c>
      <c r="C381" s="2">
        <f t="shared" si="33"/>
        <v>0</v>
      </c>
    </row>
    <row r="382" spans="1:3" x14ac:dyDescent="0.25">
      <c r="A382">
        <f t="shared" si="35"/>
        <v>76.00000000000054</v>
      </c>
      <c r="B382" s="2">
        <f t="shared" si="34"/>
        <v>107.1599999999999</v>
      </c>
      <c r="C382" s="2">
        <f t="shared" si="33"/>
        <v>0</v>
      </c>
    </row>
    <row r="383" spans="1:3" x14ac:dyDescent="0.25">
      <c r="A383">
        <f t="shared" si="35"/>
        <v>76.200000000000543</v>
      </c>
      <c r="B383" s="2">
        <f t="shared" si="34"/>
        <v>107.1599999999999</v>
      </c>
      <c r="C383" s="2">
        <f t="shared" si="33"/>
        <v>0</v>
      </c>
    </row>
    <row r="384" spans="1:3" x14ac:dyDescent="0.25">
      <c r="A384">
        <f t="shared" si="35"/>
        <v>76.400000000000546</v>
      </c>
      <c r="B384" s="2">
        <f t="shared" si="34"/>
        <v>107.1599999999999</v>
      </c>
      <c r="C384" s="2">
        <f t="shared" si="33"/>
        <v>0</v>
      </c>
    </row>
    <row r="385" spans="1:3" x14ac:dyDescent="0.25">
      <c r="A385">
        <f t="shared" si="35"/>
        <v>76.600000000000549</v>
      </c>
      <c r="B385" s="2">
        <f t="shared" si="34"/>
        <v>107.1599999999999</v>
      </c>
      <c r="C385" s="2">
        <f t="shared" si="33"/>
        <v>0</v>
      </c>
    </row>
    <row r="386" spans="1:3" x14ac:dyDescent="0.25">
      <c r="A386">
        <f t="shared" si="35"/>
        <v>76.800000000000551</v>
      </c>
      <c r="B386" s="2">
        <f t="shared" si="34"/>
        <v>107.1599999999999</v>
      </c>
      <c r="C386" s="2">
        <f t="shared" si="33"/>
        <v>0</v>
      </c>
    </row>
    <row r="387" spans="1:3" x14ac:dyDescent="0.25">
      <c r="A387">
        <f t="shared" si="35"/>
        <v>77.000000000000554</v>
      </c>
      <c r="B387" s="2">
        <f t="shared" si="34"/>
        <v>107.1599999999999</v>
      </c>
      <c r="C387" s="2">
        <f t="shared" ref="C387:C450" si="36">INDEX($K$3:$K$40,MATCH(A387,$H$2:$H$40,1))</f>
        <v>0</v>
      </c>
    </row>
    <row r="388" spans="1:3" x14ac:dyDescent="0.25">
      <c r="A388">
        <f t="shared" si="35"/>
        <v>77.200000000000557</v>
      </c>
      <c r="B388" s="2">
        <f t="shared" ref="B388:B451" si="37">B387+C387</f>
        <v>107.1599999999999</v>
      </c>
      <c r="C388" s="2">
        <f t="shared" si="36"/>
        <v>0</v>
      </c>
    </row>
    <row r="389" spans="1:3" x14ac:dyDescent="0.25">
      <c r="A389">
        <f t="shared" si="35"/>
        <v>77.40000000000056</v>
      </c>
      <c r="B389" s="2">
        <f t="shared" si="37"/>
        <v>107.1599999999999</v>
      </c>
      <c r="C389" s="2">
        <f t="shared" si="36"/>
        <v>0</v>
      </c>
    </row>
    <row r="390" spans="1:3" x14ac:dyDescent="0.25">
      <c r="A390">
        <f t="shared" si="35"/>
        <v>77.600000000000563</v>
      </c>
      <c r="B390" s="2">
        <f t="shared" si="37"/>
        <v>107.1599999999999</v>
      </c>
      <c r="C390" s="2">
        <f t="shared" si="36"/>
        <v>0</v>
      </c>
    </row>
    <row r="391" spans="1:3" x14ac:dyDescent="0.25">
      <c r="A391">
        <f t="shared" si="35"/>
        <v>77.800000000000566</v>
      </c>
      <c r="B391" s="2">
        <f t="shared" si="37"/>
        <v>107.1599999999999</v>
      </c>
      <c r="C391" s="2">
        <f t="shared" si="36"/>
        <v>0</v>
      </c>
    </row>
    <row r="392" spans="1:3" x14ac:dyDescent="0.25">
      <c r="A392">
        <f t="shared" si="35"/>
        <v>78.000000000000568</v>
      </c>
      <c r="B392" s="2">
        <f t="shared" si="37"/>
        <v>107.1599999999999</v>
      </c>
      <c r="C392" s="2">
        <f t="shared" si="36"/>
        <v>0</v>
      </c>
    </row>
    <row r="393" spans="1:3" x14ac:dyDescent="0.25">
      <c r="A393">
        <f t="shared" si="35"/>
        <v>78.200000000000571</v>
      </c>
      <c r="B393" s="2">
        <f t="shared" si="37"/>
        <v>107.1599999999999</v>
      </c>
      <c r="C393" s="2">
        <f t="shared" si="36"/>
        <v>0</v>
      </c>
    </row>
    <row r="394" spans="1:3" x14ac:dyDescent="0.25">
      <c r="A394">
        <f t="shared" si="35"/>
        <v>78.400000000000574</v>
      </c>
      <c r="B394" s="2">
        <f t="shared" si="37"/>
        <v>107.1599999999999</v>
      </c>
      <c r="C394" s="2">
        <f t="shared" si="36"/>
        <v>0</v>
      </c>
    </row>
    <row r="395" spans="1:3" x14ac:dyDescent="0.25">
      <c r="A395">
        <f t="shared" si="35"/>
        <v>78.600000000000577</v>
      </c>
      <c r="B395" s="2">
        <f t="shared" si="37"/>
        <v>107.1599999999999</v>
      </c>
      <c r="C395" s="2">
        <f t="shared" si="36"/>
        <v>0</v>
      </c>
    </row>
    <row r="396" spans="1:3" x14ac:dyDescent="0.25">
      <c r="A396">
        <f t="shared" si="35"/>
        <v>78.80000000000058</v>
      </c>
      <c r="B396" s="2">
        <f t="shared" si="37"/>
        <v>107.1599999999999</v>
      </c>
      <c r="C396" s="2">
        <f t="shared" si="36"/>
        <v>0</v>
      </c>
    </row>
    <row r="397" spans="1:3" x14ac:dyDescent="0.25">
      <c r="A397">
        <f t="shared" si="35"/>
        <v>79.000000000000583</v>
      </c>
      <c r="B397" s="2">
        <f t="shared" si="37"/>
        <v>107.1599999999999</v>
      </c>
      <c r="C397" s="2">
        <f t="shared" si="36"/>
        <v>0</v>
      </c>
    </row>
    <row r="398" spans="1:3" x14ac:dyDescent="0.25">
      <c r="A398">
        <f t="shared" si="35"/>
        <v>79.200000000000585</v>
      </c>
      <c r="B398" s="2">
        <f t="shared" si="37"/>
        <v>107.1599999999999</v>
      </c>
      <c r="C398" s="2">
        <f t="shared" si="36"/>
        <v>0</v>
      </c>
    </row>
    <row r="399" spans="1:3" x14ac:dyDescent="0.25">
      <c r="A399">
        <f t="shared" si="35"/>
        <v>79.400000000000588</v>
      </c>
      <c r="B399" s="2">
        <f t="shared" si="37"/>
        <v>107.1599999999999</v>
      </c>
      <c r="C399" s="2">
        <f t="shared" si="36"/>
        <v>0</v>
      </c>
    </row>
    <row r="400" spans="1:3" x14ac:dyDescent="0.25">
      <c r="A400">
        <f t="shared" si="35"/>
        <v>79.600000000000591</v>
      </c>
      <c r="B400" s="2">
        <f t="shared" si="37"/>
        <v>107.1599999999999</v>
      </c>
      <c r="C400" s="2">
        <f t="shared" si="36"/>
        <v>0</v>
      </c>
    </row>
    <row r="401" spans="1:3" x14ac:dyDescent="0.25">
      <c r="A401">
        <f t="shared" si="35"/>
        <v>79.800000000000594</v>
      </c>
      <c r="B401" s="2">
        <f t="shared" si="37"/>
        <v>107.1599999999999</v>
      </c>
      <c r="C401" s="2">
        <f t="shared" si="36"/>
        <v>0</v>
      </c>
    </row>
    <row r="402" spans="1:3" x14ac:dyDescent="0.25">
      <c r="A402">
        <f t="shared" si="35"/>
        <v>80.000000000000597</v>
      </c>
      <c r="B402" s="2">
        <f t="shared" si="37"/>
        <v>107.1599999999999</v>
      </c>
      <c r="C402" s="2">
        <f t="shared" si="36"/>
        <v>-1.44</v>
      </c>
    </row>
    <row r="403" spans="1:3" x14ac:dyDescent="0.25">
      <c r="A403">
        <f t="shared" si="35"/>
        <v>80.2000000000006</v>
      </c>
      <c r="B403" s="2">
        <f t="shared" si="37"/>
        <v>105.7199999999999</v>
      </c>
      <c r="C403" s="2">
        <f t="shared" si="36"/>
        <v>-1.44</v>
      </c>
    </row>
    <row r="404" spans="1:3" x14ac:dyDescent="0.25">
      <c r="A404">
        <f t="shared" si="35"/>
        <v>80.400000000000603</v>
      </c>
      <c r="B404" s="2">
        <f t="shared" si="37"/>
        <v>104.2799999999999</v>
      </c>
      <c r="C404" s="2">
        <f t="shared" si="36"/>
        <v>-1.44</v>
      </c>
    </row>
    <row r="405" spans="1:3" x14ac:dyDescent="0.25">
      <c r="A405">
        <f t="shared" si="35"/>
        <v>80.600000000000605</v>
      </c>
      <c r="B405" s="2">
        <f t="shared" si="37"/>
        <v>102.8399999999999</v>
      </c>
      <c r="C405" s="2">
        <f t="shared" si="36"/>
        <v>-1.44</v>
      </c>
    </row>
    <row r="406" spans="1:3" x14ac:dyDescent="0.25">
      <c r="A406">
        <f t="shared" si="35"/>
        <v>80.800000000000608</v>
      </c>
      <c r="B406" s="2">
        <f t="shared" si="37"/>
        <v>101.39999999999991</v>
      </c>
      <c r="C406" s="2">
        <f t="shared" si="36"/>
        <v>-1.44</v>
      </c>
    </row>
    <row r="407" spans="1:3" x14ac:dyDescent="0.25">
      <c r="A407">
        <f t="shared" si="35"/>
        <v>81.000000000000611</v>
      </c>
      <c r="B407" s="2">
        <f t="shared" si="37"/>
        <v>99.959999999999908</v>
      </c>
      <c r="C407" s="2">
        <f t="shared" si="36"/>
        <v>-1.44</v>
      </c>
    </row>
    <row r="408" spans="1:3" x14ac:dyDescent="0.25">
      <c r="A408">
        <f t="shared" si="35"/>
        <v>81.200000000000614</v>
      </c>
      <c r="B408" s="2">
        <f t="shared" si="37"/>
        <v>98.519999999999911</v>
      </c>
      <c r="C408" s="2">
        <f t="shared" si="36"/>
        <v>-1.44</v>
      </c>
    </row>
    <row r="409" spans="1:3" x14ac:dyDescent="0.25">
      <c r="A409">
        <f t="shared" si="35"/>
        <v>81.400000000000617</v>
      </c>
      <c r="B409" s="2">
        <f t="shared" si="37"/>
        <v>97.079999999999913</v>
      </c>
      <c r="C409" s="2">
        <f t="shared" si="36"/>
        <v>-1.44</v>
      </c>
    </row>
    <row r="410" spans="1:3" x14ac:dyDescent="0.25">
      <c r="A410">
        <f t="shared" si="35"/>
        <v>81.60000000000062</v>
      </c>
      <c r="B410" s="2">
        <f t="shared" si="37"/>
        <v>95.639999999999915</v>
      </c>
      <c r="C410" s="2">
        <f t="shared" si="36"/>
        <v>-1.44</v>
      </c>
    </row>
    <row r="411" spans="1:3" x14ac:dyDescent="0.25">
      <c r="A411">
        <f t="shared" si="35"/>
        <v>81.800000000000622</v>
      </c>
      <c r="B411" s="2">
        <f t="shared" si="37"/>
        <v>94.199999999999918</v>
      </c>
      <c r="C411" s="2">
        <f t="shared" si="36"/>
        <v>-1.44</v>
      </c>
    </row>
    <row r="412" spans="1:3" x14ac:dyDescent="0.25">
      <c r="A412">
        <f t="shared" si="35"/>
        <v>82.000000000000625</v>
      </c>
      <c r="B412" s="2">
        <f t="shared" si="37"/>
        <v>92.75999999999992</v>
      </c>
      <c r="C412" s="2">
        <f t="shared" si="36"/>
        <v>-1.44</v>
      </c>
    </row>
    <row r="413" spans="1:3" x14ac:dyDescent="0.25">
      <c r="A413">
        <f t="shared" si="35"/>
        <v>82.200000000000628</v>
      </c>
      <c r="B413" s="2">
        <f t="shared" si="37"/>
        <v>91.319999999999922</v>
      </c>
      <c r="C413" s="2">
        <f t="shared" si="36"/>
        <v>-1.44</v>
      </c>
    </row>
    <row r="414" spans="1:3" x14ac:dyDescent="0.25">
      <c r="A414">
        <f t="shared" si="35"/>
        <v>82.400000000000631</v>
      </c>
      <c r="B414" s="2">
        <f t="shared" si="37"/>
        <v>89.879999999999924</v>
      </c>
      <c r="C414" s="2">
        <f t="shared" si="36"/>
        <v>-1.44</v>
      </c>
    </row>
    <row r="415" spans="1:3" x14ac:dyDescent="0.25">
      <c r="A415">
        <f t="shared" si="35"/>
        <v>82.600000000000634</v>
      </c>
      <c r="B415" s="2">
        <f t="shared" si="37"/>
        <v>88.439999999999927</v>
      </c>
      <c r="C415" s="2">
        <f t="shared" si="36"/>
        <v>-1.44</v>
      </c>
    </row>
    <row r="416" spans="1:3" x14ac:dyDescent="0.25">
      <c r="A416">
        <f t="shared" si="35"/>
        <v>82.800000000000637</v>
      </c>
      <c r="B416" s="2">
        <f t="shared" si="37"/>
        <v>86.999999999999929</v>
      </c>
      <c r="C416" s="2">
        <f t="shared" si="36"/>
        <v>-1.44</v>
      </c>
    </row>
    <row r="417" spans="1:3" x14ac:dyDescent="0.25">
      <c r="A417">
        <f t="shared" si="35"/>
        <v>83.000000000000639</v>
      </c>
      <c r="B417" s="2">
        <f t="shared" si="37"/>
        <v>85.559999999999931</v>
      </c>
      <c r="C417" s="2">
        <f t="shared" si="36"/>
        <v>-1.44</v>
      </c>
    </row>
    <row r="418" spans="1:3" x14ac:dyDescent="0.25">
      <c r="A418">
        <f t="shared" si="35"/>
        <v>83.200000000000642</v>
      </c>
      <c r="B418" s="2">
        <f t="shared" si="37"/>
        <v>84.119999999999933</v>
      </c>
      <c r="C418" s="2">
        <f t="shared" si="36"/>
        <v>-1.44</v>
      </c>
    </row>
    <row r="419" spans="1:3" x14ac:dyDescent="0.25">
      <c r="A419">
        <f t="shared" si="35"/>
        <v>83.400000000000645</v>
      </c>
      <c r="B419" s="2">
        <f t="shared" si="37"/>
        <v>82.679999999999936</v>
      </c>
      <c r="C419" s="2">
        <f t="shared" si="36"/>
        <v>-1.44</v>
      </c>
    </row>
    <row r="420" spans="1:3" x14ac:dyDescent="0.25">
      <c r="A420">
        <f t="shared" si="35"/>
        <v>83.600000000000648</v>
      </c>
      <c r="B420" s="2">
        <f t="shared" si="37"/>
        <v>81.239999999999938</v>
      </c>
      <c r="C420" s="2">
        <f t="shared" si="36"/>
        <v>-1.44</v>
      </c>
    </row>
    <row r="421" spans="1:3" x14ac:dyDescent="0.25">
      <c r="A421">
        <f t="shared" si="35"/>
        <v>83.800000000000651</v>
      </c>
      <c r="B421" s="2">
        <f t="shared" si="37"/>
        <v>79.79999999999994</v>
      </c>
      <c r="C421" s="2">
        <f t="shared" si="36"/>
        <v>-1.44</v>
      </c>
    </row>
    <row r="422" spans="1:3" x14ac:dyDescent="0.25">
      <c r="A422">
        <f t="shared" si="35"/>
        <v>84.000000000000654</v>
      </c>
      <c r="B422" s="2">
        <f t="shared" si="37"/>
        <v>78.359999999999943</v>
      </c>
      <c r="C422" s="2">
        <f t="shared" si="36"/>
        <v>-1.44</v>
      </c>
    </row>
    <row r="423" spans="1:3" x14ac:dyDescent="0.25">
      <c r="A423">
        <f t="shared" si="35"/>
        <v>84.200000000000657</v>
      </c>
      <c r="B423" s="2">
        <f t="shared" si="37"/>
        <v>76.919999999999945</v>
      </c>
      <c r="C423" s="2">
        <f t="shared" si="36"/>
        <v>-1.44</v>
      </c>
    </row>
    <row r="424" spans="1:3" x14ac:dyDescent="0.25">
      <c r="A424">
        <f t="shared" si="35"/>
        <v>84.400000000000659</v>
      </c>
      <c r="B424" s="2">
        <f t="shared" si="37"/>
        <v>75.479999999999947</v>
      </c>
      <c r="C424" s="2">
        <f t="shared" si="36"/>
        <v>-1.44</v>
      </c>
    </row>
    <row r="425" spans="1:3" x14ac:dyDescent="0.25">
      <c r="A425">
        <f t="shared" si="35"/>
        <v>84.600000000000662</v>
      </c>
      <c r="B425" s="2">
        <f t="shared" si="37"/>
        <v>74.039999999999949</v>
      </c>
      <c r="C425" s="2">
        <f t="shared" si="36"/>
        <v>-1.44</v>
      </c>
    </row>
    <row r="426" spans="1:3" x14ac:dyDescent="0.25">
      <c r="A426">
        <f t="shared" si="35"/>
        <v>84.800000000000665</v>
      </c>
      <c r="B426" s="2">
        <f t="shared" si="37"/>
        <v>72.599999999999952</v>
      </c>
      <c r="C426" s="2">
        <f t="shared" si="36"/>
        <v>-1.44</v>
      </c>
    </row>
    <row r="427" spans="1:3" x14ac:dyDescent="0.25">
      <c r="A427">
        <f t="shared" si="35"/>
        <v>85.000000000000668</v>
      </c>
      <c r="B427" s="2">
        <f t="shared" si="37"/>
        <v>71.159999999999954</v>
      </c>
      <c r="C427" s="2">
        <f t="shared" si="36"/>
        <v>-1.44</v>
      </c>
    </row>
    <row r="428" spans="1:3" x14ac:dyDescent="0.25">
      <c r="A428">
        <f t="shared" si="35"/>
        <v>85.200000000000671</v>
      </c>
      <c r="B428" s="2">
        <f t="shared" si="37"/>
        <v>69.719999999999956</v>
      </c>
      <c r="C428" s="2">
        <f t="shared" si="36"/>
        <v>-1.44</v>
      </c>
    </row>
    <row r="429" spans="1:3" x14ac:dyDescent="0.25">
      <c r="A429">
        <f t="shared" si="35"/>
        <v>85.400000000000674</v>
      </c>
      <c r="B429" s="2">
        <f t="shared" si="37"/>
        <v>68.279999999999959</v>
      </c>
      <c r="C429" s="2">
        <f t="shared" si="36"/>
        <v>-1.44</v>
      </c>
    </row>
    <row r="430" spans="1:3" x14ac:dyDescent="0.25">
      <c r="A430">
        <f t="shared" si="35"/>
        <v>85.600000000000676</v>
      </c>
      <c r="B430" s="2">
        <f t="shared" si="37"/>
        <v>66.839999999999961</v>
      </c>
      <c r="C430" s="2">
        <f t="shared" si="36"/>
        <v>-1.44</v>
      </c>
    </row>
    <row r="431" spans="1:3" x14ac:dyDescent="0.25">
      <c r="A431">
        <f t="shared" ref="A431:A494" si="38">A430+0.2</f>
        <v>85.800000000000679</v>
      </c>
      <c r="B431" s="2">
        <f t="shared" si="37"/>
        <v>65.399999999999963</v>
      </c>
      <c r="C431" s="2">
        <f t="shared" si="36"/>
        <v>-1.44</v>
      </c>
    </row>
    <row r="432" spans="1:3" x14ac:dyDescent="0.25">
      <c r="A432">
        <f t="shared" si="38"/>
        <v>86.000000000000682</v>
      </c>
      <c r="B432" s="2">
        <f t="shared" si="37"/>
        <v>63.959999999999965</v>
      </c>
      <c r="C432" s="2">
        <f t="shared" si="36"/>
        <v>-1.44</v>
      </c>
    </row>
    <row r="433" spans="1:3" x14ac:dyDescent="0.25">
      <c r="A433">
        <f t="shared" si="38"/>
        <v>86.200000000000685</v>
      </c>
      <c r="B433" s="2">
        <f t="shared" si="37"/>
        <v>62.519999999999968</v>
      </c>
      <c r="C433" s="2">
        <f t="shared" si="36"/>
        <v>-1.44</v>
      </c>
    </row>
    <row r="434" spans="1:3" x14ac:dyDescent="0.25">
      <c r="A434">
        <f t="shared" si="38"/>
        <v>86.400000000000688</v>
      </c>
      <c r="B434" s="2">
        <f t="shared" si="37"/>
        <v>61.07999999999997</v>
      </c>
      <c r="C434" s="2">
        <f t="shared" si="36"/>
        <v>-1.44</v>
      </c>
    </row>
    <row r="435" spans="1:3" x14ac:dyDescent="0.25">
      <c r="A435">
        <f t="shared" si="38"/>
        <v>86.600000000000691</v>
      </c>
      <c r="B435" s="2">
        <f t="shared" si="37"/>
        <v>59.639999999999972</v>
      </c>
      <c r="C435" s="2">
        <f t="shared" si="36"/>
        <v>-1.44</v>
      </c>
    </row>
    <row r="436" spans="1:3" x14ac:dyDescent="0.25">
      <c r="A436">
        <f t="shared" si="38"/>
        <v>86.800000000000693</v>
      </c>
      <c r="B436" s="2">
        <f t="shared" si="37"/>
        <v>58.199999999999974</v>
      </c>
      <c r="C436" s="2">
        <f t="shared" si="36"/>
        <v>-1.44</v>
      </c>
    </row>
    <row r="437" spans="1:3" x14ac:dyDescent="0.25">
      <c r="A437">
        <f t="shared" si="38"/>
        <v>87.000000000000696</v>
      </c>
      <c r="B437" s="2">
        <f t="shared" si="37"/>
        <v>56.759999999999977</v>
      </c>
      <c r="C437" s="2">
        <f t="shared" si="36"/>
        <v>-1.44</v>
      </c>
    </row>
    <row r="438" spans="1:3" x14ac:dyDescent="0.25">
      <c r="A438">
        <f t="shared" si="38"/>
        <v>87.200000000000699</v>
      </c>
      <c r="B438" s="2">
        <f t="shared" si="37"/>
        <v>55.319999999999979</v>
      </c>
      <c r="C438" s="2">
        <f t="shared" si="36"/>
        <v>-1.44</v>
      </c>
    </row>
    <row r="439" spans="1:3" x14ac:dyDescent="0.25">
      <c r="A439">
        <f t="shared" si="38"/>
        <v>87.400000000000702</v>
      </c>
      <c r="B439" s="2">
        <f t="shared" si="37"/>
        <v>53.879999999999981</v>
      </c>
      <c r="C439" s="2">
        <f t="shared" si="36"/>
        <v>-1.44</v>
      </c>
    </row>
    <row r="440" spans="1:3" x14ac:dyDescent="0.25">
      <c r="A440">
        <f t="shared" si="38"/>
        <v>87.600000000000705</v>
      </c>
      <c r="B440" s="2">
        <f t="shared" si="37"/>
        <v>52.439999999999984</v>
      </c>
      <c r="C440" s="2">
        <f t="shared" si="36"/>
        <v>-1.44</v>
      </c>
    </row>
    <row r="441" spans="1:3" x14ac:dyDescent="0.25">
      <c r="A441">
        <f t="shared" si="38"/>
        <v>87.800000000000708</v>
      </c>
      <c r="B441" s="2">
        <f t="shared" si="37"/>
        <v>50.999999999999986</v>
      </c>
      <c r="C441" s="2">
        <f t="shared" si="36"/>
        <v>-1.44</v>
      </c>
    </row>
    <row r="442" spans="1:3" x14ac:dyDescent="0.25">
      <c r="A442">
        <f t="shared" si="38"/>
        <v>88.000000000000711</v>
      </c>
      <c r="B442" s="2">
        <f t="shared" si="37"/>
        <v>49.559999999999988</v>
      </c>
      <c r="C442" s="2">
        <f t="shared" si="36"/>
        <v>-1.44</v>
      </c>
    </row>
    <row r="443" spans="1:3" x14ac:dyDescent="0.25">
      <c r="A443">
        <f t="shared" si="38"/>
        <v>88.200000000000713</v>
      </c>
      <c r="B443" s="2">
        <f t="shared" si="37"/>
        <v>48.11999999999999</v>
      </c>
      <c r="C443" s="2">
        <f t="shared" si="36"/>
        <v>-1.44</v>
      </c>
    </row>
    <row r="444" spans="1:3" x14ac:dyDescent="0.25">
      <c r="A444">
        <f t="shared" si="38"/>
        <v>88.400000000000716</v>
      </c>
      <c r="B444" s="2">
        <f t="shared" si="37"/>
        <v>46.679999999999993</v>
      </c>
      <c r="C444" s="2">
        <f t="shared" si="36"/>
        <v>-1.44</v>
      </c>
    </row>
    <row r="445" spans="1:3" x14ac:dyDescent="0.25">
      <c r="A445">
        <f t="shared" si="38"/>
        <v>88.600000000000719</v>
      </c>
      <c r="B445" s="2">
        <f t="shared" si="37"/>
        <v>45.239999999999995</v>
      </c>
      <c r="C445" s="2">
        <f t="shared" si="36"/>
        <v>-1.44</v>
      </c>
    </row>
    <row r="446" spans="1:3" x14ac:dyDescent="0.25">
      <c r="A446">
        <f t="shared" si="38"/>
        <v>88.800000000000722</v>
      </c>
      <c r="B446" s="2">
        <f t="shared" si="37"/>
        <v>43.8</v>
      </c>
      <c r="C446" s="2">
        <f t="shared" si="36"/>
        <v>-1.44</v>
      </c>
    </row>
    <row r="447" spans="1:3" x14ac:dyDescent="0.25">
      <c r="A447">
        <f t="shared" si="38"/>
        <v>89.000000000000725</v>
      </c>
      <c r="B447" s="2">
        <f t="shared" si="37"/>
        <v>42.36</v>
      </c>
      <c r="C447" s="2">
        <f t="shared" si="36"/>
        <v>-1.44</v>
      </c>
    </row>
    <row r="448" spans="1:3" x14ac:dyDescent="0.25">
      <c r="A448">
        <f t="shared" si="38"/>
        <v>89.200000000000728</v>
      </c>
      <c r="B448" s="2">
        <f t="shared" si="37"/>
        <v>40.92</v>
      </c>
      <c r="C448" s="2">
        <f t="shared" si="36"/>
        <v>-1.44</v>
      </c>
    </row>
    <row r="449" spans="1:3" x14ac:dyDescent="0.25">
      <c r="A449">
        <f t="shared" si="38"/>
        <v>89.40000000000073</v>
      </c>
      <c r="B449" s="2">
        <f t="shared" si="37"/>
        <v>39.480000000000004</v>
      </c>
      <c r="C449" s="2">
        <f t="shared" si="36"/>
        <v>-1.44</v>
      </c>
    </row>
    <row r="450" spans="1:3" x14ac:dyDescent="0.25">
      <c r="A450">
        <f t="shared" si="38"/>
        <v>89.600000000000733</v>
      </c>
      <c r="B450" s="2">
        <f t="shared" si="37"/>
        <v>38.040000000000006</v>
      </c>
      <c r="C450" s="2">
        <f t="shared" si="36"/>
        <v>-1.44</v>
      </c>
    </row>
    <row r="451" spans="1:3" x14ac:dyDescent="0.25">
      <c r="A451">
        <f t="shared" si="38"/>
        <v>89.800000000000736</v>
      </c>
      <c r="B451" s="2">
        <f t="shared" si="37"/>
        <v>36.600000000000009</v>
      </c>
      <c r="C451" s="2">
        <f t="shared" ref="C451:C514" si="39">INDEX($K$3:$K$40,MATCH(A451,$H$2:$H$40,1))</f>
        <v>-1.44</v>
      </c>
    </row>
    <row r="452" spans="1:3" x14ac:dyDescent="0.25">
      <c r="A452">
        <f t="shared" si="38"/>
        <v>90.000000000000739</v>
      </c>
      <c r="B452" s="2">
        <f t="shared" ref="B452:B515" si="40">B451+C451</f>
        <v>35.160000000000011</v>
      </c>
      <c r="C452" s="2">
        <f t="shared" si="39"/>
        <v>0</v>
      </c>
    </row>
    <row r="453" spans="1:3" x14ac:dyDescent="0.25">
      <c r="A453">
        <f t="shared" si="38"/>
        <v>90.200000000000742</v>
      </c>
      <c r="B453" s="2">
        <f t="shared" si="40"/>
        <v>35.160000000000011</v>
      </c>
      <c r="C453" s="2">
        <f t="shared" si="39"/>
        <v>0</v>
      </c>
    </row>
    <row r="454" spans="1:3" x14ac:dyDescent="0.25">
      <c r="A454">
        <f t="shared" si="38"/>
        <v>90.400000000000745</v>
      </c>
      <c r="B454" s="2">
        <f t="shared" si="40"/>
        <v>35.160000000000011</v>
      </c>
      <c r="C454" s="2">
        <f t="shared" si="39"/>
        <v>0</v>
      </c>
    </row>
    <row r="455" spans="1:3" x14ac:dyDescent="0.25">
      <c r="A455">
        <f t="shared" si="38"/>
        <v>90.600000000000747</v>
      </c>
      <c r="B455" s="2">
        <f t="shared" si="40"/>
        <v>35.160000000000011</v>
      </c>
      <c r="C455" s="2">
        <f t="shared" si="39"/>
        <v>0</v>
      </c>
    </row>
    <row r="456" spans="1:3" x14ac:dyDescent="0.25">
      <c r="A456">
        <f t="shared" si="38"/>
        <v>90.80000000000075</v>
      </c>
      <c r="B456" s="2">
        <f t="shared" si="40"/>
        <v>35.160000000000011</v>
      </c>
      <c r="C456" s="2">
        <f t="shared" si="39"/>
        <v>0</v>
      </c>
    </row>
    <row r="457" spans="1:3" x14ac:dyDescent="0.25">
      <c r="A457">
        <f t="shared" si="38"/>
        <v>91.000000000000753</v>
      </c>
      <c r="B457" s="2">
        <f t="shared" si="40"/>
        <v>35.160000000000011</v>
      </c>
      <c r="C457" s="2">
        <f t="shared" si="39"/>
        <v>0</v>
      </c>
    </row>
    <row r="458" spans="1:3" x14ac:dyDescent="0.25">
      <c r="A458">
        <f t="shared" si="38"/>
        <v>91.200000000000756</v>
      </c>
      <c r="B458" s="2">
        <f t="shared" si="40"/>
        <v>35.160000000000011</v>
      </c>
      <c r="C458" s="2">
        <f t="shared" si="39"/>
        <v>0</v>
      </c>
    </row>
    <row r="459" spans="1:3" x14ac:dyDescent="0.25">
      <c r="A459">
        <f t="shared" si="38"/>
        <v>91.400000000000759</v>
      </c>
      <c r="B459" s="2">
        <f t="shared" si="40"/>
        <v>35.160000000000011</v>
      </c>
      <c r="C459" s="2">
        <f t="shared" si="39"/>
        <v>0</v>
      </c>
    </row>
    <row r="460" spans="1:3" x14ac:dyDescent="0.25">
      <c r="A460">
        <f t="shared" si="38"/>
        <v>91.600000000000762</v>
      </c>
      <c r="B460" s="2">
        <f t="shared" si="40"/>
        <v>35.160000000000011</v>
      </c>
      <c r="C460" s="2">
        <f t="shared" si="39"/>
        <v>0</v>
      </c>
    </row>
    <row r="461" spans="1:3" x14ac:dyDescent="0.25">
      <c r="A461">
        <f t="shared" si="38"/>
        <v>91.800000000000765</v>
      </c>
      <c r="B461" s="2">
        <f t="shared" si="40"/>
        <v>35.160000000000011</v>
      </c>
      <c r="C461" s="2">
        <f t="shared" si="39"/>
        <v>0</v>
      </c>
    </row>
    <row r="462" spans="1:3" x14ac:dyDescent="0.25">
      <c r="A462">
        <f t="shared" si="38"/>
        <v>92.000000000000767</v>
      </c>
      <c r="B462" s="2">
        <f t="shared" si="40"/>
        <v>35.160000000000011</v>
      </c>
      <c r="C462" s="2">
        <f t="shared" si="39"/>
        <v>0</v>
      </c>
    </row>
    <row r="463" spans="1:3" x14ac:dyDescent="0.25">
      <c r="A463">
        <f t="shared" si="38"/>
        <v>92.20000000000077</v>
      </c>
      <c r="B463" s="2">
        <f t="shared" si="40"/>
        <v>35.160000000000011</v>
      </c>
      <c r="C463" s="2">
        <f t="shared" si="39"/>
        <v>0</v>
      </c>
    </row>
    <row r="464" spans="1:3" x14ac:dyDescent="0.25">
      <c r="A464">
        <f t="shared" si="38"/>
        <v>92.400000000000773</v>
      </c>
      <c r="B464" s="2">
        <f t="shared" si="40"/>
        <v>35.160000000000011</v>
      </c>
      <c r="C464" s="2">
        <f t="shared" si="39"/>
        <v>0</v>
      </c>
    </row>
    <row r="465" spans="1:3" x14ac:dyDescent="0.25">
      <c r="A465">
        <f t="shared" si="38"/>
        <v>92.600000000000776</v>
      </c>
      <c r="B465" s="2">
        <f t="shared" si="40"/>
        <v>35.160000000000011</v>
      </c>
      <c r="C465" s="2">
        <f t="shared" si="39"/>
        <v>0</v>
      </c>
    </row>
    <row r="466" spans="1:3" x14ac:dyDescent="0.25">
      <c r="A466">
        <f t="shared" si="38"/>
        <v>92.800000000000779</v>
      </c>
      <c r="B466" s="2">
        <f t="shared" si="40"/>
        <v>35.160000000000011</v>
      </c>
      <c r="C466" s="2">
        <f t="shared" si="39"/>
        <v>0</v>
      </c>
    </row>
    <row r="467" spans="1:3" x14ac:dyDescent="0.25">
      <c r="A467">
        <f t="shared" si="38"/>
        <v>93.000000000000782</v>
      </c>
      <c r="B467" s="2">
        <f t="shared" si="40"/>
        <v>35.160000000000011</v>
      </c>
      <c r="C467" s="2">
        <f t="shared" si="39"/>
        <v>0</v>
      </c>
    </row>
    <row r="468" spans="1:3" x14ac:dyDescent="0.25">
      <c r="A468">
        <f t="shared" si="38"/>
        <v>93.200000000000784</v>
      </c>
      <c r="B468" s="2">
        <f t="shared" si="40"/>
        <v>35.160000000000011</v>
      </c>
      <c r="C468" s="2">
        <f t="shared" si="39"/>
        <v>0</v>
      </c>
    </row>
    <row r="469" spans="1:3" x14ac:dyDescent="0.25">
      <c r="A469">
        <f t="shared" si="38"/>
        <v>93.400000000000787</v>
      </c>
      <c r="B469" s="2">
        <f t="shared" si="40"/>
        <v>35.160000000000011</v>
      </c>
      <c r="C469" s="2">
        <f t="shared" si="39"/>
        <v>0</v>
      </c>
    </row>
    <row r="470" spans="1:3" x14ac:dyDescent="0.25">
      <c r="A470">
        <f t="shared" si="38"/>
        <v>93.60000000000079</v>
      </c>
      <c r="B470" s="2">
        <f t="shared" si="40"/>
        <v>35.160000000000011</v>
      </c>
      <c r="C470" s="2">
        <f t="shared" si="39"/>
        <v>0</v>
      </c>
    </row>
    <row r="471" spans="1:3" x14ac:dyDescent="0.25">
      <c r="A471">
        <f t="shared" si="38"/>
        <v>93.800000000000793</v>
      </c>
      <c r="B471" s="2">
        <f t="shared" si="40"/>
        <v>35.160000000000011</v>
      </c>
      <c r="C471" s="2">
        <f t="shared" si="39"/>
        <v>0</v>
      </c>
    </row>
    <row r="472" spans="1:3" x14ac:dyDescent="0.25">
      <c r="A472">
        <f t="shared" si="38"/>
        <v>94.000000000000796</v>
      </c>
      <c r="B472" s="2">
        <f t="shared" si="40"/>
        <v>35.160000000000011</v>
      </c>
      <c r="C472" s="2">
        <f t="shared" si="39"/>
        <v>0</v>
      </c>
    </row>
    <row r="473" spans="1:3" x14ac:dyDescent="0.25">
      <c r="A473">
        <f t="shared" si="38"/>
        <v>94.200000000000799</v>
      </c>
      <c r="B473" s="2">
        <f t="shared" si="40"/>
        <v>35.160000000000011</v>
      </c>
      <c r="C473" s="2">
        <f t="shared" si="39"/>
        <v>0</v>
      </c>
    </row>
    <row r="474" spans="1:3" x14ac:dyDescent="0.25">
      <c r="A474">
        <f t="shared" si="38"/>
        <v>94.400000000000801</v>
      </c>
      <c r="B474" s="2">
        <f t="shared" si="40"/>
        <v>35.160000000000011</v>
      </c>
      <c r="C474" s="2">
        <f t="shared" si="39"/>
        <v>0</v>
      </c>
    </row>
    <row r="475" spans="1:3" x14ac:dyDescent="0.25">
      <c r="A475">
        <f t="shared" si="38"/>
        <v>94.600000000000804</v>
      </c>
      <c r="B475" s="2">
        <f t="shared" si="40"/>
        <v>35.160000000000011</v>
      </c>
      <c r="C475" s="2">
        <f t="shared" si="39"/>
        <v>0</v>
      </c>
    </row>
    <row r="476" spans="1:3" x14ac:dyDescent="0.25">
      <c r="A476">
        <f t="shared" si="38"/>
        <v>94.800000000000807</v>
      </c>
      <c r="B476" s="2">
        <f t="shared" si="40"/>
        <v>35.160000000000011</v>
      </c>
      <c r="C476" s="2">
        <f t="shared" si="39"/>
        <v>0</v>
      </c>
    </row>
    <row r="477" spans="1:3" x14ac:dyDescent="0.25">
      <c r="A477">
        <f t="shared" si="38"/>
        <v>95.00000000000081</v>
      </c>
      <c r="B477" s="2">
        <f t="shared" si="40"/>
        <v>35.160000000000011</v>
      </c>
      <c r="C477" s="2">
        <f t="shared" si="39"/>
        <v>0</v>
      </c>
    </row>
    <row r="478" spans="1:3" x14ac:dyDescent="0.25">
      <c r="A478">
        <f t="shared" si="38"/>
        <v>95.200000000000813</v>
      </c>
      <c r="B478" s="2">
        <f t="shared" si="40"/>
        <v>35.160000000000011</v>
      </c>
      <c r="C478" s="2">
        <f t="shared" si="39"/>
        <v>0</v>
      </c>
    </row>
    <row r="479" spans="1:3" x14ac:dyDescent="0.25">
      <c r="A479">
        <f t="shared" si="38"/>
        <v>95.400000000000816</v>
      </c>
      <c r="B479" s="2">
        <f t="shared" si="40"/>
        <v>35.160000000000011</v>
      </c>
      <c r="C479" s="2">
        <f t="shared" si="39"/>
        <v>0</v>
      </c>
    </row>
    <row r="480" spans="1:3" x14ac:dyDescent="0.25">
      <c r="A480">
        <f t="shared" si="38"/>
        <v>95.600000000000819</v>
      </c>
      <c r="B480" s="2">
        <f t="shared" si="40"/>
        <v>35.160000000000011</v>
      </c>
      <c r="C480" s="2">
        <f t="shared" si="39"/>
        <v>0</v>
      </c>
    </row>
    <row r="481" spans="1:3" x14ac:dyDescent="0.25">
      <c r="A481">
        <f t="shared" si="38"/>
        <v>95.800000000000821</v>
      </c>
      <c r="B481" s="2">
        <f t="shared" si="40"/>
        <v>35.160000000000011</v>
      </c>
      <c r="C481" s="2">
        <f t="shared" si="39"/>
        <v>0</v>
      </c>
    </row>
    <row r="482" spans="1:3" x14ac:dyDescent="0.25">
      <c r="A482">
        <f t="shared" si="38"/>
        <v>96.000000000000824</v>
      </c>
      <c r="B482" s="2">
        <f t="shared" si="40"/>
        <v>35.160000000000011</v>
      </c>
      <c r="C482" s="2">
        <f t="shared" si="39"/>
        <v>0</v>
      </c>
    </row>
    <row r="483" spans="1:3" x14ac:dyDescent="0.25">
      <c r="A483">
        <f t="shared" si="38"/>
        <v>96.200000000000827</v>
      </c>
      <c r="B483" s="2">
        <f t="shared" si="40"/>
        <v>35.160000000000011</v>
      </c>
      <c r="C483" s="2">
        <f t="shared" si="39"/>
        <v>0</v>
      </c>
    </row>
    <row r="484" spans="1:3" x14ac:dyDescent="0.25">
      <c r="A484">
        <f t="shared" si="38"/>
        <v>96.40000000000083</v>
      </c>
      <c r="B484" s="2">
        <f t="shared" si="40"/>
        <v>35.160000000000011</v>
      </c>
      <c r="C484" s="2">
        <f t="shared" si="39"/>
        <v>0</v>
      </c>
    </row>
    <row r="485" spans="1:3" x14ac:dyDescent="0.25">
      <c r="A485">
        <f t="shared" si="38"/>
        <v>96.600000000000833</v>
      </c>
      <c r="B485" s="2">
        <f t="shared" si="40"/>
        <v>35.160000000000011</v>
      </c>
      <c r="C485" s="2">
        <f t="shared" si="39"/>
        <v>0</v>
      </c>
    </row>
    <row r="486" spans="1:3" x14ac:dyDescent="0.25">
      <c r="A486">
        <f t="shared" si="38"/>
        <v>96.800000000000836</v>
      </c>
      <c r="B486" s="2">
        <f t="shared" si="40"/>
        <v>35.160000000000011</v>
      </c>
      <c r="C486" s="2">
        <f t="shared" si="39"/>
        <v>0</v>
      </c>
    </row>
    <row r="487" spans="1:3" x14ac:dyDescent="0.25">
      <c r="A487">
        <f t="shared" si="38"/>
        <v>97.000000000000838</v>
      </c>
      <c r="B487" s="2">
        <f t="shared" si="40"/>
        <v>35.160000000000011</v>
      </c>
      <c r="C487" s="2">
        <f t="shared" si="39"/>
        <v>0</v>
      </c>
    </row>
    <row r="488" spans="1:3" x14ac:dyDescent="0.25">
      <c r="A488">
        <f t="shared" si="38"/>
        <v>97.200000000000841</v>
      </c>
      <c r="B488" s="2">
        <f t="shared" si="40"/>
        <v>35.160000000000011</v>
      </c>
      <c r="C488" s="2">
        <f t="shared" si="39"/>
        <v>0</v>
      </c>
    </row>
    <row r="489" spans="1:3" x14ac:dyDescent="0.25">
      <c r="A489">
        <f t="shared" si="38"/>
        <v>97.400000000000844</v>
      </c>
      <c r="B489" s="2">
        <f t="shared" si="40"/>
        <v>35.160000000000011</v>
      </c>
      <c r="C489" s="2">
        <f t="shared" si="39"/>
        <v>0</v>
      </c>
    </row>
    <row r="490" spans="1:3" x14ac:dyDescent="0.25">
      <c r="A490">
        <f t="shared" si="38"/>
        <v>97.600000000000847</v>
      </c>
      <c r="B490" s="2">
        <f t="shared" si="40"/>
        <v>35.160000000000011</v>
      </c>
      <c r="C490" s="2">
        <f t="shared" si="39"/>
        <v>0</v>
      </c>
    </row>
    <row r="491" spans="1:3" x14ac:dyDescent="0.25">
      <c r="A491">
        <f t="shared" si="38"/>
        <v>97.80000000000085</v>
      </c>
      <c r="B491" s="2">
        <f t="shared" si="40"/>
        <v>35.160000000000011</v>
      </c>
      <c r="C491" s="2">
        <f t="shared" si="39"/>
        <v>0</v>
      </c>
    </row>
    <row r="492" spans="1:3" x14ac:dyDescent="0.25">
      <c r="A492">
        <f t="shared" si="38"/>
        <v>98.000000000000853</v>
      </c>
      <c r="B492" s="2">
        <f t="shared" si="40"/>
        <v>35.160000000000011</v>
      </c>
      <c r="C492" s="2">
        <f t="shared" si="39"/>
        <v>0</v>
      </c>
    </row>
    <row r="493" spans="1:3" x14ac:dyDescent="0.25">
      <c r="A493">
        <f t="shared" si="38"/>
        <v>98.200000000000855</v>
      </c>
      <c r="B493" s="2">
        <f t="shared" si="40"/>
        <v>35.160000000000011</v>
      </c>
      <c r="C493" s="2">
        <f t="shared" si="39"/>
        <v>0</v>
      </c>
    </row>
    <row r="494" spans="1:3" x14ac:dyDescent="0.25">
      <c r="A494">
        <f t="shared" si="38"/>
        <v>98.400000000000858</v>
      </c>
      <c r="B494" s="2">
        <f t="shared" si="40"/>
        <v>35.160000000000011</v>
      </c>
      <c r="C494" s="2">
        <f t="shared" si="39"/>
        <v>0</v>
      </c>
    </row>
    <row r="495" spans="1:3" x14ac:dyDescent="0.25">
      <c r="A495">
        <f t="shared" ref="A495:A558" si="41">A494+0.2</f>
        <v>98.600000000000861</v>
      </c>
      <c r="B495" s="2">
        <f t="shared" si="40"/>
        <v>35.160000000000011</v>
      </c>
      <c r="C495" s="2">
        <f t="shared" si="39"/>
        <v>0</v>
      </c>
    </row>
    <row r="496" spans="1:3" x14ac:dyDescent="0.25">
      <c r="A496">
        <f t="shared" si="41"/>
        <v>98.800000000000864</v>
      </c>
      <c r="B496" s="2">
        <f t="shared" si="40"/>
        <v>35.160000000000011</v>
      </c>
      <c r="C496" s="2">
        <f t="shared" si="39"/>
        <v>0</v>
      </c>
    </row>
    <row r="497" spans="1:3" x14ac:dyDescent="0.25">
      <c r="A497">
        <f t="shared" si="41"/>
        <v>99.000000000000867</v>
      </c>
      <c r="B497" s="2">
        <f t="shared" si="40"/>
        <v>35.160000000000011</v>
      </c>
      <c r="C497" s="2">
        <f t="shared" si="39"/>
        <v>0</v>
      </c>
    </row>
    <row r="498" spans="1:3" x14ac:dyDescent="0.25">
      <c r="A498">
        <f t="shared" si="41"/>
        <v>99.20000000000087</v>
      </c>
      <c r="B498" s="2">
        <f t="shared" si="40"/>
        <v>35.160000000000011</v>
      </c>
      <c r="C498" s="2">
        <f t="shared" si="39"/>
        <v>0</v>
      </c>
    </row>
    <row r="499" spans="1:3" x14ac:dyDescent="0.25">
      <c r="A499">
        <f t="shared" si="41"/>
        <v>99.400000000000873</v>
      </c>
      <c r="B499" s="2">
        <f t="shared" si="40"/>
        <v>35.160000000000011</v>
      </c>
      <c r="C499" s="2">
        <f t="shared" si="39"/>
        <v>0</v>
      </c>
    </row>
    <row r="500" spans="1:3" x14ac:dyDescent="0.25">
      <c r="A500">
        <f t="shared" si="41"/>
        <v>99.600000000000875</v>
      </c>
      <c r="B500" s="2">
        <f t="shared" si="40"/>
        <v>35.160000000000011</v>
      </c>
      <c r="C500" s="2">
        <f t="shared" si="39"/>
        <v>0</v>
      </c>
    </row>
    <row r="501" spans="1:3" x14ac:dyDescent="0.25">
      <c r="A501">
        <f t="shared" si="41"/>
        <v>99.800000000000878</v>
      </c>
      <c r="B501" s="2">
        <f t="shared" si="40"/>
        <v>35.160000000000011</v>
      </c>
      <c r="C501" s="2">
        <f t="shared" si="39"/>
        <v>0</v>
      </c>
    </row>
    <row r="502" spans="1:3" x14ac:dyDescent="0.25">
      <c r="A502">
        <f t="shared" si="41"/>
        <v>100.00000000000088</v>
      </c>
      <c r="B502" s="2">
        <f t="shared" si="40"/>
        <v>35.160000000000011</v>
      </c>
      <c r="C502" s="2">
        <f t="shared" si="39"/>
        <v>2.44</v>
      </c>
    </row>
    <row r="503" spans="1:3" x14ac:dyDescent="0.25">
      <c r="A503">
        <f t="shared" si="41"/>
        <v>100.20000000000088</v>
      </c>
      <c r="B503" s="2">
        <f t="shared" si="40"/>
        <v>37.600000000000009</v>
      </c>
      <c r="C503" s="2">
        <f t="shared" si="39"/>
        <v>2.44</v>
      </c>
    </row>
    <row r="504" spans="1:3" x14ac:dyDescent="0.25">
      <c r="A504">
        <f t="shared" si="41"/>
        <v>100.40000000000089</v>
      </c>
      <c r="B504" s="2">
        <f t="shared" si="40"/>
        <v>40.040000000000006</v>
      </c>
      <c r="C504" s="2">
        <f t="shared" si="39"/>
        <v>2.44</v>
      </c>
    </row>
    <row r="505" spans="1:3" x14ac:dyDescent="0.25">
      <c r="A505">
        <f t="shared" si="41"/>
        <v>100.60000000000089</v>
      </c>
      <c r="B505" s="2">
        <f t="shared" si="40"/>
        <v>42.480000000000004</v>
      </c>
      <c r="C505" s="2">
        <f t="shared" si="39"/>
        <v>2.44</v>
      </c>
    </row>
    <row r="506" spans="1:3" x14ac:dyDescent="0.25">
      <c r="A506">
        <f t="shared" si="41"/>
        <v>100.80000000000089</v>
      </c>
      <c r="B506" s="2">
        <f t="shared" si="40"/>
        <v>44.92</v>
      </c>
      <c r="C506" s="2">
        <f t="shared" si="39"/>
        <v>2.44</v>
      </c>
    </row>
    <row r="507" spans="1:3" x14ac:dyDescent="0.25">
      <c r="A507">
        <f t="shared" si="41"/>
        <v>101.0000000000009</v>
      </c>
      <c r="B507" s="2">
        <f t="shared" si="40"/>
        <v>47.36</v>
      </c>
      <c r="C507" s="2">
        <f t="shared" si="39"/>
        <v>2.44</v>
      </c>
    </row>
    <row r="508" spans="1:3" x14ac:dyDescent="0.25">
      <c r="A508">
        <f t="shared" si="41"/>
        <v>101.2000000000009</v>
      </c>
      <c r="B508" s="2">
        <f t="shared" si="40"/>
        <v>49.8</v>
      </c>
      <c r="C508" s="2">
        <f t="shared" si="39"/>
        <v>2.44</v>
      </c>
    </row>
    <row r="509" spans="1:3" x14ac:dyDescent="0.25">
      <c r="A509">
        <f t="shared" si="41"/>
        <v>101.4000000000009</v>
      </c>
      <c r="B509" s="2">
        <f t="shared" si="40"/>
        <v>52.239999999999995</v>
      </c>
      <c r="C509" s="2">
        <f t="shared" si="39"/>
        <v>2.44</v>
      </c>
    </row>
    <row r="510" spans="1:3" x14ac:dyDescent="0.25">
      <c r="A510">
        <f t="shared" si="41"/>
        <v>101.6000000000009</v>
      </c>
      <c r="B510" s="2">
        <f t="shared" si="40"/>
        <v>54.679999999999993</v>
      </c>
      <c r="C510" s="2">
        <f t="shared" si="39"/>
        <v>2.44</v>
      </c>
    </row>
    <row r="511" spans="1:3" x14ac:dyDescent="0.25">
      <c r="A511">
        <f t="shared" si="41"/>
        <v>101.80000000000091</v>
      </c>
      <c r="B511" s="2">
        <f t="shared" si="40"/>
        <v>57.11999999999999</v>
      </c>
      <c r="C511" s="2">
        <f t="shared" si="39"/>
        <v>2.44</v>
      </c>
    </row>
    <row r="512" spans="1:3" x14ac:dyDescent="0.25">
      <c r="A512">
        <f t="shared" si="41"/>
        <v>102.00000000000091</v>
      </c>
      <c r="B512" s="2">
        <f t="shared" si="40"/>
        <v>59.559999999999988</v>
      </c>
      <c r="C512" s="2">
        <f t="shared" si="39"/>
        <v>2.44</v>
      </c>
    </row>
    <row r="513" spans="1:3" x14ac:dyDescent="0.25">
      <c r="A513">
        <f t="shared" si="41"/>
        <v>102.20000000000091</v>
      </c>
      <c r="B513" s="2">
        <f t="shared" si="40"/>
        <v>61.999999999999986</v>
      </c>
      <c r="C513" s="2">
        <f t="shared" si="39"/>
        <v>2.44</v>
      </c>
    </row>
    <row r="514" spans="1:3" x14ac:dyDescent="0.25">
      <c r="A514">
        <f t="shared" si="41"/>
        <v>102.40000000000092</v>
      </c>
      <c r="B514" s="2">
        <f t="shared" si="40"/>
        <v>64.439999999999984</v>
      </c>
      <c r="C514" s="2">
        <f t="shared" si="39"/>
        <v>2.44</v>
      </c>
    </row>
    <row r="515" spans="1:3" x14ac:dyDescent="0.25">
      <c r="A515">
        <f t="shared" si="41"/>
        <v>102.60000000000092</v>
      </c>
      <c r="B515" s="2">
        <f t="shared" si="40"/>
        <v>66.879999999999981</v>
      </c>
      <c r="C515" s="2">
        <f t="shared" ref="C515:C578" si="42">INDEX($K$3:$K$40,MATCH(A515,$H$2:$H$40,1))</f>
        <v>2.44</v>
      </c>
    </row>
    <row r="516" spans="1:3" x14ac:dyDescent="0.25">
      <c r="A516">
        <f t="shared" si="41"/>
        <v>102.80000000000092</v>
      </c>
      <c r="B516" s="2">
        <f t="shared" ref="B516:B579" si="43">B515+C515</f>
        <v>69.319999999999979</v>
      </c>
      <c r="C516" s="2">
        <f t="shared" si="42"/>
        <v>2.44</v>
      </c>
    </row>
    <row r="517" spans="1:3" x14ac:dyDescent="0.25">
      <c r="A517">
        <f t="shared" si="41"/>
        <v>103.00000000000092</v>
      </c>
      <c r="B517" s="2">
        <f t="shared" si="43"/>
        <v>71.759999999999977</v>
      </c>
      <c r="C517" s="2">
        <f t="shared" si="42"/>
        <v>2.44</v>
      </c>
    </row>
    <row r="518" spans="1:3" x14ac:dyDescent="0.25">
      <c r="A518">
        <f t="shared" si="41"/>
        <v>103.20000000000093</v>
      </c>
      <c r="B518" s="2">
        <f t="shared" si="43"/>
        <v>74.199999999999974</v>
      </c>
      <c r="C518" s="2">
        <f t="shared" si="42"/>
        <v>2.44</v>
      </c>
    </row>
    <row r="519" spans="1:3" x14ac:dyDescent="0.25">
      <c r="A519">
        <f t="shared" si="41"/>
        <v>103.40000000000093</v>
      </c>
      <c r="B519" s="2">
        <f t="shared" si="43"/>
        <v>76.639999999999972</v>
      </c>
      <c r="C519" s="2">
        <f t="shared" si="42"/>
        <v>2.44</v>
      </c>
    </row>
    <row r="520" spans="1:3" x14ac:dyDescent="0.25">
      <c r="A520">
        <f t="shared" si="41"/>
        <v>103.60000000000093</v>
      </c>
      <c r="B520" s="2">
        <f t="shared" si="43"/>
        <v>79.07999999999997</v>
      </c>
      <c r="C520" s="2">
        <f t="shared" si="42"/>
        <v>2.44</v>
      </c>
    </row>
    <row r="521" spans="1:3" x14ac:dyDescent="0.25">
      <c r="A521">
        <f t="shared" si="41"/>
        <v>103.80000000000094</v>
      </c>
      <c r="B521" s="2">
        <f t="shared" si="43"/>
        <v>81.519999999999968</v>
      </c>
      <c r="C521" s="2">
        <f t="shared" si="42"/>
        <v>2.44</v>
      </c>
    </row>
    <row r="522" spans="1:3" x14ac:dyDescent="0.25">
      <c r="A522">
        <f t="shared" si="41"/>
        <v>104.00000000000094</v>
      </c>
      <c r="B522" s="2">
        <f t="shared" si="43"/>
        <v>83.959999999999965</v>
      </c>
      <c r="C522" s="2">
        <f t="shared" si="42"/>
        <v>2.44</v>
      </c>
    </row>
    <row r="523" spans="1:3" x14ac:dyDescent="0.25">
      <c r="A523">
        <f t="shared" si="41"/>
        <v>104.20000000000094</v>
      </c>
      <c r="B523" s="2">
        <f t="shared" si="43"/>
        <v>86.399999999999963</v>
      </c>
      <c r="C523" s="2">
        <f t="shared" si="42"/>
        <v>2.44</v>
      </c>
    </row>
    <row r="524" spans="1:3" x14ac:dyDescent="0.25">
      <c r="A524">
        <f t="shared" si="41"/>
        <v>104.40000000000094</v>
      </c>
      <c r="B524" s="2">
        <f t="shared" si="43"/>
        <v>88.839999999999961</v>
      </c>
      <c r="C524" s="2">
        <f t="shared" si="42"/>
        <v>2.44</v>
      </c>
    </row>
    <row r="525" spans="1:3" x14ac:dyDescent="0.25">
      <c r="A525">
        <f t="shared" si="41"/>
        <v>104.60000000000095</v>
      </c>
      <c r="B525" s="2">
        <f t="shared" si="43"/>
        <v>91.279999999999959</v>
      </c>
      <c r="C525" s="2">
        <f t="shared" si="42"/>
        <v>2.44</v>
      </c>
    </row>
    <row r="526" spans="1:3" x14ac:dyDescent="0.25">
      <c r="A526">
        <f t="shared" si="41"/>
        <v>104.80000000000095</v>
      </c>
      <c r="B526" s="2">
        <f t="shared" si="43"/>
        <v>93.719999999999956</v>
      </c>
      <c r="C526" s="2">
        <f t="shared" si="42"/>
        <v>2.44</v>
      </c>
    </row>
    <row r="527" spans="1:3" x14ac:dyDescent="0.25">
      <c r="A527">
        <f t="shared" si="41"/>
        <v>105.00000000000095</v>
      </c>
      <c r="B527" s="2">
        <f t="shared" si="43"/>
        <v>96.159999999999954</v>
      </c>
      <c r="C527" s="2">
        <f t="shared" si="42"/>
        <v>2.44</v>
      </c>
    </row>
    <row r="528" spans="1:3" x14ac:dyDescent="0.25">
      <c r="A528">
        <f t="shared" si="41"/>
        <v>105.20000000000095</v>
      </c>
      <c r="B528" s="2">
        <f t="shared" si="43"/>
        <v>98.599999999999952</v>
      </c>
      <c r="C528" s="2">
        <f t="shared" si="42"/>
        <v>2.44</v>
      </c>
    </row>
    <row r="529" spans="1:3" x14ac:dyDescent="0.25">
      <c r="A529">
        <f t="shared" si="41"/>
        <v>105.40000000000096</v>
      </c>
      <c r="B529" s="2">
        <f t="shared" si="43"/>
        <v>101.03999999999995</v>
      </c>
      <c r="C529" s="2">
        <f t="shared" si="42"/>
        <v>2.44</v>
      </c>
    </row>
    <row r="530" spans="1:3" x14ac:dyDescent="0.25">
      <c r="A530">
        <f t="shared" si="41"/>
        <v>105.60000000000096</v>
      </c>
      <c r="B530" s="2">
        <f t="shared" si="43"/>
        <v>103.47999999999995</v>
      </c>
      <c r="C530" s="2">
        <f t="shared" si="42"/>
        <v>2.44</v>
      </c>
    </row>
    <row r="531" spans="1:3" x14ac:dyDescent="0.25">
      <c r="A531">
        <f t="shared" si="41"/>
        <v>105.80000000000096</v>
      </c>
      <c r="B531" s="2">
        <f t="shared" si="43"/>
        <v>105.91999999999994</v>
      </c>
      <c r="C531" s="2">
        <f t="shared" si="42"/>
        <v>2.44</v>
      </c>
    </row>
    <row r="532" spans="1:3" x14ac:dyDescent="0.25">
      <c r="A532">
        <f t="shared" si="41"/>
        <v>106.00000000000097</v>
      </c>
      <c r="B532" s="2">
        <f t="shared" si="43"/>
        <v>108.35999999999994</v>
      </c>
      <c r="C532" s="2">
        <f t="shared" si="42"/>
        <v>2.44</v>
      </c>
    </row>
    <row r="533" spans="1:3" x14ac:dyDescent="0.25">
      <c r="A533">
        <f t="shared" si="41"/>
        <v>106.20000000000097</v>
      </c>
      <c r="B533" s="2">
        <f t="shared" si="43"/>
        <v>110.79999999999994</v>
      </c>
      <c r="C533" s="2">
        <f t="shared" si="42"/>
        <v>2.44</v>
      </c>
    </row>
    <row r="534" spans="1:3" x14ac:dyDescent="0.25">
      <c r="A534">
        <f t="shared" si="41"/>
        <v>106.40000000000097</v>
      </c>
      <c r="B534" s="2">
        <f t="shared" si="43"/>
        <v>113.23999999999994</v>
      </c>
      <c r="C534" s="2">
        <f t="shared" si="42"/>
        <v>2.44</v>
      </c>
    </row>
    <row r="535" spans="1:3" x14ac:dyDescent="0.25">
      <c r="A535">
        <f t="shared" si="41"/>
        <v>106.60000000000097</v>
      </c>
      <c r="B535" s="2">
        <f t="shared" si="43"/>
        <v>115.67999999999994</v>
      </c>
      <c r="C535" s="2">
        <f t="shared" si="42"/>
        <v>2.44</v>
      </c>
    </row>
    <row r="536" spans="1:3" x14ac:dyDescent="0.25">
      <c r="A536">
        <f t="shared" si="41"/>
        <v>106.80000000000098</v>
      </c>
      <c r="B536" s="2">
        <f t="shared" si="43"/>
        <v>118.11999999999993</v>
      </c>
      <c r="C536" s="2">
        <f t="shared" si="42"/>
        <v>2.44</v>
      </c>
    </row>
    <row r="537" spans="1:3" x14ac:dyDescent="0.25">
      <c r="A537">
        <f t="shared" si="41"/>
        <v>107.00000000000098</v>
      </c>
      <c r="B537" s="2">
        <f t="shared" si="43"/>
        <v>120.55999999999993</v>
      </c>
      <c r="C537" s="2">
        <f t="shared" si="42"/>
        <v>2.44</v>
      </c>
    </row>
    <row r="538" spans="1:3" x14ac:dyDescent="0.25">
      <c r="A538">
        <f t="shared" si="41"/>
        <v>107.20000000000098</v>
      </c>
      <c r="B538" s="2">
        <f t="shared" si="43"/>
        <v>122.99999999999993</v>
      </c>
      <c r="C538" s="2">
        <f t="shared" si="42"/>
        <v>2.44</v>
      </c>
    </row>
    <row r="539" spans="1:3" x14ac:dyDescent="0.25">
      <c r="A539">
        <f t="shared" si="41"/>
        <v>107.40000000000099</v>
      </c>
      <c r="B539" s="2">
        <f t="shared" si="43"/>
        <v>125.43999999999993</v>
      </c>
      <c r="C539" s="2">
        <f t="shared" si="42"/>
        <v>2.44</v>
      </c>
    </row>
    <row r="540" spans="1:3" x14ac:dyDescent="0.25">
      <c r="A540">
        <f t="shared" si="41"/>
        <v>107.60000000000099</v>
      </c>
      <c r="B540" s="2">
        <f t="shared" si="43"/>
        <v>127.87999999999992</v>
      </c>
      <c r="C540" s="2">
        <f t="shared" si="42"/>
        <v>2.44</v>
      </c>
    </row>
    <row r="541" spans="1:3" x14ac:dyDescent="0.25">
      <c r="A541">
        <f t="shared" si="41"/>
        <v>107.80000000000099</v>
      </c>
      <c r="B541" s="2">
        <f t="shared" si="43"/>
        <v>130.31999999999994</v>
      </c>
      <c r="C541" s="2">
        <f t="shared" si="42"/>
        <v>2.44</v>
      </c>
    </row>
    <row r="542" spans="1:3" x14ac:dyDescent="0.25">
      <c r="A542">
        <f t="shared" si="41"/>
        <v>108.00000000000099</v>
      </c>
      <c r="B542" s="2">
        <f t="shared" si="43"/>
        <v>132.75999999999993</v>
      </c>
      <c r="C542" s="2">
        <f t="shared" si="42"/>
        <v>2.44</v>
      </c>
    </row>
    <row r="543" spans="1:3" x14ac:dyDescent="0.25">
      <c r="A543">
        <f t="shared" si="41"/>
        <v>108.200000000001</v>
      </c>
      <c r="B543" s="2">
        <f t="shared" si="43"/>
        <v>135.19999999999993</v>
      </c>
      <c r="C543" s="2">
        <f t="shared" si="42"/>
        <v>2.44</v>
      </c>
    </row>
    <row r="544" spans="1:3" x14ac:dyDescent="0.25">
      <c r="A544">
        <f t="shared" si="41"/>
        <v>108.400000000001</v>
      </c>
      <c r="B544" s="2">
        <f t="shared" si="43"/>
        <v>137.63999999999993</v>
      </c>
      <c r="C544" s="2">
        <f t="shared" si="42"/>
        <v>2.44</v>
      </c>
    </row>
    <row r="545" spans="1:3" x14ac:dyDescent="0.25">
      <c r="A545">
        <f t="shared" si="41"/>
        <v>108.600000000001</v>
      </c>
      <c r="B545" s="2">
        <f t="shared" si="43"/>
        <v>140.07999999999993</v>
      </c>
      <c r="C545" s="2">
        <f t="shared" si="42"/>
        <v>2.44</v>
      </c>
    </row>
    <row r="546" spans="1:3" x14ac:dyDescent="0.25">
      <c r="A546">
        <f t="shared" si="41"/>
        <v>108.80000000000101</v>
      </c>
      <c r="B546" s="2">
        <f t="shared" si="43"/>
        <v>142.51999999999992</v>
      </c>
      <c r="C546" s="2">
        <f t="shared" si="42"/>
        <v>2.44</v>
      </c>
    </row>
    <row r="547" spans="1:3" x14ac:dyDescent="0.25">
      <c r="A547">
        <f t="shared" si="41"/>
        <v>109.00000000000101</v>
      </c>
      <c r="B547" s="2">
        <f t="shared" si="43"/>
        <v>144.95999999999992</v>
      </c>
      <c r="C547" s="2">
        <f t="shared" si="42"/>
        <v>2.44</v>
      </c>
    </row>
    <row r="548" spans="1:3" x14ac:dyDescent="0.25">
      <c r="A548">
        <f t="shared" si="41"/>
        <v>109.20000000000101</v>
      </c>
      <c r="B548" s="2">
        <f t="shared" si="43"/>
        <v>147.39999999999992</v>
      </c>
      <c r="C548" s="2">
        <f t="shared" si="42"/>
        <v>2.44</v>
      </c>
    </row>
    <row r="549" spans="1:3" x14ac:dyDescent="0.25">
      <c r="A549">
        <f t="shared" si="41"/>
        <v>109.40000000000101</v>
      </c>
      <c r="B549" s="2">
        <f t="shared" si="43"/>
        <v>149.83999999999992</v>
      </c>
      <c r="C549" s="2">
        <f t="shared" si="42"/>
        <v>2.44</v>
      </c>
    </row>
    <row r="550" spans="1:3" x14ac:dyDescent="0.25">
      <c r="A550">
        <f t="shared" si="41"/>
        <v>109.60000000000102</v>
      </c>
      <c r="B550" s="2">
        <f t="shared" si="43"/>
        <v>152.27999999999992</v>
      </c>
      <c r="C550" s="2">
        <f t="shared" si="42"/>
        <v>2.44</v>
      </c>
    </row>
    <row r="551" spans="1:3" x14ac:dyDescent="0.25">
      <c r="A551">
        <f t="shared" si="41"/>
        <v>109.80000000000102</v>
      </c>
      <c r="B551" s="2">
        <f t="shared" si="43"/>
        <v>154.71999999999991</v>
      </c>
      <c r="C551" s="2">
        <f t="shared" si="42"/>
        <v>2.44</v>
      </c>
    </row>
    <row r="552" spans="1:3" x14ac:dyDescent="0.25">
      <c r="A552">
        <f t="shared" si="41"/>
        <v>110.00000000000102</v>
      </c>
      <c r="B552" s="2">
        <f t="shared" si="43"/>
        <v>157.15999999999991</v>
      </c>
      <c r="C552" s="2">
        <f t="shared" si="42"/>
        <v>0</v>
      </c>
    </row>
    <row r="553" spans="1:3" x14ac:dyDescent="0.25">
      <c r="A553">
        <f t="shared" si="41"/>
        <v>110.20000000000103</v>
      </c>
      <c r="B553" s="2">
        <f t="shared" si="43"/>
        <v>157.15999999999991</v>
      </c>
      <c r="C553" s="2">
        <f t="shared" si="42"/>
        <v>0</v>
      </c>
    </row>
    <row r="554" spans="1:3" x14ac:dyDescent="0.25">
      <c r="A554">
        <f t="shared" si="41"/>
        <v>110.40000000000103</v>
      </c>
      <c r="B554" s="2">
        <f t="shared" si="43"/>
        <v>157.15999999999991</v>
      </c>
      <c r="C554" s="2">
        <f t="shared" si="42"/>
        <v>0</v>
      </c>
    </row>
    <row r="555" spans="1:3" x14ac:dyDescent="0.25">
      <c r="A555">
        <f t="shared" si="41"/>
        <v>110.60000000000103</v>
      </c>
      <c r="B555" s="2">
        <f t="shared" si="43"/>
        <v>157.15999999999991</v>
      </c>
      <c r="C555" s="2">
        <f t="shared" si="42"/>
        <v>0</v>
      </c>
    </row>
    <row r="556" spans="1:3" x14ac:dyDescent="0.25">
      <c r="A556">
        <f t="shared" si="41"/>
        <v>110.80000000000103</v>
      </c>
      <c r="B556" s="2">
        <f t="shared" si="43"/>
        <v>157.15999999999991</v>
      </c>
      <c r="C556" s="2">
        <f t="shared" si="42"/>
        <v>0</v>
      </c>
    </row>
    <row r="557" spans="1:3" x14ac:dyDescent="0.25">
      <c r="A557">
        <f t="shared" si="41"/>
        <v>111.00000000000104</v>
      </c>
      <c r="B557" s="2">
        <f t="shared" si="43"/>
        <v>157.15999999999991</v>
      </c>
      <c r="C557" s="2">
        <f t="shared" si="42"/>
        <v>0</v>
      </c>
    </row>
    <row r="558" spans="1:3" x14ac:dyDescent="0.25">
      <c r="A558">
        <f t="shared" si="41"/>
        <v>111.20000000000104</v>
      </c>
      <c r="B558" s="2">
        <f t="shared" si="43"/>
        <v>157.15999999999991</v>
      </c>
      <c r="C558" s="2">
        <f t="shared" si="42"/>
        <v>0</v>
      </c>
    </row>
    <row r="559" spans="1:3" x14ac:dyDescent="0.25">
      <c r="A559">
        <f t="shared" ref="A559:A622" si="44">A558+0.2</f>
        <v>111.40000000000104</v>
      </c>
      <c r="B559" s="2">
        <f t="shared" si="43"/>
        <v>157.15999999999991</v>
      </c>
      <c r="C559" s="2">
        <f t="shared" si="42"/>
        <v>0</v>
      </c>
    </row>
    <row r="560" spans="1:3" x14ac:dyDescent="0.25">
      <c r="A560">
        <f t="shared" si="44"/>
        <v>111.60000000000105</v>
      </c>
      <c r="B560" s="2">
        <f t="shared" si="43"/>
        <v>157.15999999999991</v>
      </c>
      <c r="C560" s="2">
        <f t="shared" si="42"/>
        <v>0</v>
      </c>
    </row>
    <row r="561" spans="1:3" x14ac:dyDescent="0.25">
      <c r="A561">
        <f t="shared" si="44"/>
        <v>111.80000000000105</v>
      </c>
      <c r="B561" s="2">
        <f t="shared" si="43"/>
        <v>157.15999999999991</v>
      </c>
      <c r="C561" s="2">
        <f t="shared" si="42"/>
        <v>0</v>
      </c>
    </row>
    <row r="562" spans="1:3" x14ac:dyDescent="0.25">
      <c r="A562">
        <f t="shared" si="44"/>
        <v>112.00000000000105</v>
      </c>
      <c r="B562" s="2">
        <f t="shared" si="43"/>
        <v>157.15999999999991</v>
      </c>
      <c r="C562" s="2">
        <f t="shared" si="42"/>
        <v>0</v>
      </c>
    </row>
    <row r="563" spans="1:3" x14ac:dyDescent="0.25">
      <c r="A563">
        <f t="shared" si="44"/>
        <v>112.20000000000105</v>
      </c>
      <c r="B563" s="2">
        <f t="shared" si="43"/>
        <v>157.15999999999991</v>
      </c>
      <c r="C563" s="2">
        <f t="shared" si="42"/>
        <v>0</v>
      </c>
    </row>
    <row r="564" spans="1:3" x14ac:dyDescent="0.25">
      <c r="A564">
        <f t="shared" si="44"/>
        <v>112.40000000000106</v>
      </c>
      <c r="B564" s="2">
        <f t="shared" si="43"/>
        <v>157.15999999999991</v>
      </c>
      <c r="C564" s="2">
        <f t="shared" si="42"/>
        <v>0</v>
      </c>
    </row>
    <row r="565" spans="1:3" x14ac:dyDescent="0.25">
      <c r="A565">
        <f t="shared" si="44"/>
        <v>112.60000000000106</v>
      </c>
      <c r="B565" s="2">
        <f t="shared" si="43"/>
        <v>157.15999999999991</v>
      </c>
      <c r="C565" s="2">
        <f t="shared" si="42"/>
        <v>0</v>
      </c>
    </row>
    <row r="566" spans="1:3" x14ac:dyDescent="0.25">
      <c r="A566">
        <f t="shared" si="44"/>
        <v>112.80000000000106</v>
      </c>
      <c r="B566" s="2">
        <f t="shared" si="43"/>
        <v>157.15999999999991</v>
      </c>
      <c r="C566" s="2">
        <f t="shared" si="42"/>
        <v>0</v>
      </c>
    </row>
    <row r="567" spans="1:3" x14ac:dyDescent="0.25">
      <c r="A567">
        <f t="shared" si="44"/>
        <v>113.00000000000107</v>
      </c>
      <c r="B567" s="2">
        <f t="shared" si="43"/>
        <v>157.15999999999991</v>
      </c>
      <c r="C567" s="2">
        <f t="shared" si="42"/>
        <v>0</v>
      </c>
    </row>
    <row r="568" spans="1:3" x14ac:dyDescent="0.25">
      <c r="A568">
        <f t="shared" si="44"/>
        <v>113.20000000000107</v>
      </c>
      <c r="B568" s="2">
        <f t="shared" si="43"/>
        <v>157.15999999999991</v>
      </c>
      <c r="C568" s="2">
        <f t="shared" si="42"/>
        <v>0</v>
      </c>
    </row>
    <row r="569" spans="1:3" x14ac:dyDescent="0.25">
      <c r="A569">
        <f t="shared" si="44"/>
        <v>113.40000000000107</v>
      </c>
      <c r="B569" s="2">
        <f t="shared" si="43"/>
        <v>157.15999999999991</v>
      </c>
      <c r="C569" s="2">
        <f t="shared" si="42"/>
        <v>0</v>
      </c>
    </row>
    <row r="570" spans="1:3" x14ac:dyDescent="0.25">
      <c r="A570">
        <f t="shared" si="44"/>
        <v>113.60000000000107</v>
      </c>
      <c r="B570" s="2">
        <f t="shared" si="43"/>
        <v>157.15999999999991</v>
      </c>
      <c r="C570" s="2">
        <f t="shared" si="42"/>
        <v>0</v>
      </c>
    </row>
    <row r="571" spans="1:3" x14ac:dyDescent="0.25">
      <c r="A571">
        <f t="shared" si="44"/>
        <v>113.80000000000108</v>
      </c>
      <c r="B571" s="2">
        <f t="shared" si="43"/>
        <v>157.15999999999991</v>
      </c>
      <c r="C571" s="2">
        <f t="shared" si="42"/>
        <v>0</v>
      </c>
    </row>
    <row r="572" spans="1:3" x14ac:dyDescent="0.25">
      <c r="A572">
        <f t="shared" si="44"/>
        <v>114.00000000000108</v>
      </c>
      <c r="B572" s="2">
        <f t="shared" si="43"/>
        <v>157.15999999999991</v>
      </c>
      <c r="C572" s="2">
        <f t="shared" si="42"/>
        <v>0</v>
      </c>
    </row>
    <row r="573" spans="1:3" x14ac:dyDescent="0.25">
      <c r="A573">
        <f t="shared" si="44"/>
        <v>114.20000000000108</v>
      </c>
      <c r="B573" s="2">
        <f t="shared" si="43"/>
        <v>157.15999999999991</v>
      </c>
      <c r="C573" s="2">
        <f t="shared" si="42"/>
        <v>0</v>
      </c>
    </row>
    <row r="574" spans="1:3" x14ac:dyDescent="0.25">
      <c r="A574">
        <f t="shared" si="44"/>
        <v>114.40000000000109</v>
      </c>
      <c r="B574" s="2">
        <f t="shared" si="43"/>
        <v>157.15999999999991</v>
      </c>
      <c r="C574" s="2">
        <f t="shared" si="42"/>
        <v>0</v>
      </c>
    </row>
    <row r="575" spans="1:3" x14ac:dyDescent="0.25">
      <c r="A575">
        <f t="shared" si="44"/>
        <v>114.60000000000109</v>
      </c>
      <c r="B575" s="2">
        <f t="shared" si="43"/>
        <v>157.15999999999991</v>
      </c>
      <c r="C575" s="2">
        <f t="shared" si="42"/>
        <v>0</v>
      </c>
    </row>
    <row r="576" spans="1:3" x14ac:dyDescent="0.25">
      <c r="A576">
        <f t="shared" si="44"/>
        <v>114.80000000000109</v>
      </c>
      <c r="B576" s="2">
        <f t="shared" si="43"/>
        <v>157.15999999999991</v>
      </c>
      <c r="C576" s="2">
        <f t="shared" si="42"/>
        <v>0</v>
      </c>
    </row>
    <row r="577" spans="1:3" x14ac:dyDescent="0.25">
      <c r="A577">
        <f t="shared" si="44"/>
        <v>115.00000000000109</v>
      </c>
      <c r="B577" s="2">
        <f t="shared" si="43"/>
        <v>157.15999999999991</v>
      </c>
      <c r="C577" s="2">
        <f t="shared" si="42"/>
        <v>-2.44</v>
      </c>
    </row>
    <row r="578" spans="1:3" x14ac:dyDescent="0.25">
      <c r="A578">
        <f t="shared" si="44"/>
        <v>115.2000000000011</v>
      </c>
      <c r="B578" s="2">
        <f t="shared" si="43"/>
        <v>154.71999999999991</v>
      </c>
      <c r="C578" s="2">
        <f t="shared" si="42"/>
        <v>-2.44</v>
      </c>
    </row>
    <row r="579" spans="1:3" x14ac:dyDescent="0.25">
      <c r="A579">
        <f t="shared" si="44"/>
        <v>115.4000000000011</v>
      </c>
      <c r="B579" s="2">
        <f t="shared" si="43"/>
        <v>152.27999999999992</v>
      </c>
      <c r="C579" s="2">
        <f t="shared" ref="C579:C642" si="45">INDEX($K$3:$K$40,MATCH(A579,$H$2:$H$40,1))</f>
        <v>-2.44</v>
      </c>
    </row>
    <row r="580" spans="1:3" x14ac:dyDescent="0.25">
      <c r="A580">
        <f t="shared" si="44"/>
        <v>115.6000000000011</v>
      </c>
      <c r="B580" s="2">
        <f t="shared" ref="B580:B643" si="46">B579+C579</f>
        <v>149.83999999999992</v>
      </c>
      <c r="C580" s="2">
        <f t="shared" si="45"/>
        <v>-2.44</v>
      </c>
    </row>
    <row r="581" spans="1:3" x14ac:dyDescent="0.25">
      <c r="A581">
        <f t="shared" si="44"/>
        <v>115.80000000000111</v>
      </c>
      <c r="B581" s="2">
        <f t="shared" si="46"/>
        <v>147.39999999999992</v>
      </c>
      <c r="C581" s="2">
        <f t="shared" si="45"/>
        <v>-2.44</v>
      </c>
    </row>
    <row r="582" spans="1:3" x14ac:dyDescent="0.25">
      <c r="A582">
        <f t="shared" si="44"/>
        <v>116.00000000000111</v>
      </c>
      <c r="B582" s="2">
        <f t="shared" si="46"/>
        <v>144.95999999999992</v>
      </c>
      <c r="C582" s="2">
        <f t="shared" si="45"/>
        <v>-2.44</v>
      </c>
    </row>
    <row r="583" spans="1:3" x14ac:dyDescent="0.25">
      <c r="A583">
        <f t="shared" si="44"/>
        <v>116.20000000000111</v>
      </c>
      <c r="B583" s="2">
        <f t="shared" si="46"/>
        <v>142.51999999999992</v>
      </c>
      <c r="C583" s="2">
        <f t="shared" si="45"/>
        <v>-2.44</v>
      </c>
    </row>
    <row r="584" spans="1:3" x14ac:dyDescent="0.25">
      <c r="A584">
        <f t="shared" si="44"/>
        <v>116.40000000000111</v>
      </c>
      <c r="B584" s="2">
        <f t="shared" si="46"/>
        <v>140.07999999999993</v>
      </c>
      <c r="C584" s="2">
        <f t="shared" si="45"/>
        <v>-2.44</v>
      </c>
    </row>
    <row r="585" spans="1:3" x14ac:dyDescent="0.25">
      <c r="A585">
        <f t="shared" si="44"/>
        <v>116.60000000000112</v>
      </c>
      <c r="B585" s="2">
        <f t="shared" si="46"/>
        <v>137.63999999999993</v>
      </c>
      <c r="C585" s="2">
        <f t="shared" si="45"/>
        <v>-2.44</v>
      </c>
    </row>
    <row r="586" spans="1:3" x14ac:dyDescent="0.25">
      <c r="A586">
        <f t="shared" si="44"/>
        <v>116.80000000000112</v>
      </c>
      <c r="B586" s="2">
        <f t="shared" si="46"/>
        <v>135.19999999999993</v>
      </c>
      <c r="C586" s="2">
        <f t="shared" si="45"/>
        <v>-2.44</v>
      </c>
    </row>
    <row r="587" spans="1:3" x14ac:dyDescent="0.25">
      <c r="A587">
        <f t="shared" si="44"/>
        <v>117.00000000000112</v>
      </c>
      <c r="B587" s="2">
        <f t="shared" si="46"/>
        <v>132.75999999999993</v>
      </c>
      <c r="C587" s="2">
        <f t="shared" si="45"/>
        <v>-2.44</v>
      </c>
    </row>
    <row r="588" spans="1:3" x14ac:dyDescent="0.25">
      <c r="A588">
        <f t="shared" si="44"/>
        <v>117.20000000000113</v>
      </c>
      <c r="B588" s="2">
        <f t="shared" si="46"/>
        <v>130.31999999999994</v>
      </c>
      <c r="C588" s="2">
        <f t="shared" si="45"/>
        <v>-2.44</v>
      </c>
    </row>
    <row r="589" spans="1:3" x14ac:dyDescent="0.25">
      <c r="A589">
        <f t="shared" si="44"/>
        <v>117.40000000000113</v>
      </c>
      <c r="B589" s="2">
        <f t="shared" si="46"/>
        <v>127.87999999999994</v>
      </c>
      <c r="C589" s="2">
        <f t="shared" si="45"/>
        <v>-2.44</v>
      </c>
    </row>
    <row r="590" spans="1:3" x14ac:dyDescent="0.25">
      <c r="A590">
        <f t="shared" si="44"/>
        <v>117.60000000000113</v>
      </c>
      <c r="B590" s="2">
        <f t="shared" si="46"/>
        <v>125.43999999999994</v>
      </c>
      <c r="C590" s="2">
        <f t="shared" si="45"/>
        <v>-2.44</v>
      </c>
    </row>
    <row r="591" spans="1:3" x14ac:dyDescent="0.25">
      <c r="A591">
        <f t="shared" si="44"/>
        <v>117.80000000000113</v>
      </c>
      <c r="B591" s="2">
        <f t="shared" si="46"/>
        <v>122.99999999999994</v>
      </c>
      <c r="C591" s="2">
        <f t="shared" si="45"/>
        <v>-2.44</v>
      </c>
    </row>
    <row r="592" spans="1:3" x14ac:dyDescent="0.25">
      <c r="A592">
        <f t="shared" si="44"/>
        <v>118.00000000000114</v>
      </c>
      <c r="B592" s="2">
        <f t="shared" si="46"/>
        <v>120.55999999999995</v>
      </c>
      <c r="C592" s="2">
        <f t="shared" si="45"/>
        <v>-2.44</v>
      </c>
    </row>
    <row r="593" spans="1:3" x14ac:dyDescent="0.25">
      <c r="A593">
        <f t="shared" si="44"/>
        <v>118.20000000000114</v>
      </c>
      <c r="B593" s="2">
        <f t="shared" si="46"/>
        <v>118.11999999999995</v>
      </c>
      <c r="C593" s="2">
        <f t="shared" si="45"/>
        <v>-2.44</v>
      </c>
    </row>
    <row r="594" spans="1:3" x14ac:dyDescent="0.25">
      <c r="A594">
        <f t="shared" si="44"/>
        <v>118.40000000000114</v>
      </c>
      <c r="B594" s="2">
        <f t="shared" si="46"/>
        <v>115.67999999999995</v>
      </c>
      <c r="C594" s="2">
        <f t="shared" si="45"/>
        <v>-2.44</v>
      </c>
    </row>
    <row r="595" spans="1:3" x14ac:dyDescent="0.25">
      <c r="A595">
        <f t="shared" si="44"/>
        <v>118.60000000000115</v>
      </c>
      <c r="B595" s="2">
        <f t="shared" si="46"/>
        <v>113.23999999999995</v>
      </c>
      <c r="C595" s="2">
        <f t="shared" si="45"/>
        <v>-2.44</v>
      </c>
    </row>
    <row r="596" spans="1:3" x14ac:dyDescent="0.25">
      <c r="A596">
        <f t="shared" si="44"/>
        <v>118.80000000000115</v>
      </c>
      <c r="B596" s="2">
        <f t="shared" si="46"/>
        <v>110.79999999999995</v>
      </c>
      <c r="C596" s="2">
        <f t="shared" si="45"/>
        <v>-2.44</v>
      </c>
    </row>
    <row r="597" spans="1:3" x14ac:dyDescent="0.25">
      <c r="A597">
        <f t="shared" si="44"/>
        <v>119.00000000000115</v>
      </c>
      <c r="B597" s="2">
        <f t="shared" si="46"/>
        <v>108.35999999999996</v>
      </c>
      <c r="C597" s="2">
        <f t="shared" si="45"/>
        <v>-2.44</v>
      </c>
    </row>
    <row r="598" spans="1:3" x14ac:dyDescent="0.25">
      <c r="A598">
        <f t="shared" si="44"/>
        <v>119.20000000000115</v>
      </c>
      <c r="B598" s="2">
        <f t="shared" si="46"/>
        <v>105.91999999999996</v>
      </c>
      <c r="C598" s="2">
        <f t="shared" si="45"/>
        <v>-2.44</v>
      </c>
    </row>
    <row r="599" spans="1:3" x14ac:dyDescent="0.25">
      <c r="A599">
        <f t="shared" si="44"/>
        <v>119.40000000000116</v>
      </c>
      <c r="B599" s="2">
        <f t="shared" si="46"/>
        <v>103.47999999999996</v>
      </c>
      <c r="C599" s="2">
        <f t="shared" si="45"/>
        <v>-2.44</v>
      </c>
    </row>
    <row r="600" spans="1:3" x14ac:dyDescent="0.25">
      <c r="A600">
        <f t="shared" si="44"/>
        <v>119.60000000000116</v>
      </c>
      <c r="B600" s="2">
        <f t="shared" si="46"/>
        <v>101.03999999999996</v>
      </c>
      <c r="C600" s="2">
        <f t="shared" si="45"/>
        <v>-2.44</v>
      </c>
    </row>
    <row r="601" spans="1:3" x14ac:dyDescent="0.25">
      <c r="A601">
        <f t="shared" si="44"/>
        <v>119.80000000000116</v>
      </c>
      <c r="B601" s="2">
        <f t="shared" si="46"/>
        <v>98.599999999999966</v>
      </c>
      <c r="C601" s="2">
        <f t="shared" si="45"/>
        <v>-2.44</v>
      </c>
    </row>
    <row r="602" spans="1:3" x14ac:dyDescent="0.25">
      <c r="A602">
        <f t="shared" si="44"/>
        <v>120.00000000000117</v>
      </c>
      <c r="B602" s="2">
        <f t="shared" si="46"/>
        <v>96.159999999999968</v>
      </c>
      <c r="C602" s="2">
        <f t="shared" si="45"/>
        <v>-2.44</v>
      </c>
    </row>
    <row r="603" spans="1:3" x14ac:dyDescent="0.25">
      <c r="A603">
        <f t="shared" si="44"/>
        <v>120.20000000000117</v>
      </c>
      <c r="B603" s="2">
        <f t="shared" si="46"/>
        <v>93.71999999999997</v>
      </c>
      <c r="C603" s="2">
        <f t="shared" si="45"/>
        <v>-2.44</v>
      </c>
    </row>
    <row r="604" spans="1:3" x14ac:dyDescent="0.25">
      <c r="A604">
        <f t="shared" si="44"/>
        <v>120.40000000000117</v>
      </c>
      <c r="B604" s="2">
        <f t="shared" si="46"/>
        <v>91.279999999999973</v>
      </c>
      <c r="C604" s="2">
        <f t="shared" si="45"/>
        <v>-2.44</v>
      </c>
    </row>
    <row r="605" spans="1:3" x14ac:dyDescent="0.25">
      <c r="A605">
        <f t="shared" si="44"/>
        <v>120.60000000000117</v>
      </c>
      <c r="B605" s="2">
        <f t="shared" si="46"/>
        <v>88.839999999999975</v>
      </c>
      <c r="C605" s="2">
        <f t="shared" si="45"/>
        <v>-2.44</v>
      </c>
    </row>
    <row r="606" spans="1:3" x14ac:dyDescent="0.25">
      <c r="A606">
        <f t="shared" si="44"/>
        <v>120.80000000000118</v>
      </c>
      <c r="B606" s="2">
        <f t="shared" si="46"/>
        <v>86.399999999999977</v>
      </c>
      <c r="C606" s="2">
        <f t="shared" si="45"/>
        <v>-2.44</v>
      </c>
    </row>
    <row r="607" spans="1:3" x14ac:dyDescent="0.25">
      <c r="A607">
        <f t="shared" si="44"/>
        <v>121.00000000000118</v>
      </c>
      <c r="B607" s="2">
        <f t="shared" si="46"/>
        <v>83.95999999999998</v>
      </c>
      <c r="C607" s="2">
        <f t="shared" si="45"/>
        <v>-2.44</v>
      </c>
    </row>
    <row r="608" spans="1:3" x14ac:dyDescent="0.25">
      <c r="A608">
        <f t="shared" si="44"/>
        <v>121.20000000000118</v>
      </c>
      <c r="B608" s="2">
        <f t="shared" si="46"/>
        <v>81.519999999999982</v>
      </c>
      <c r="C608" s="2">
        <f t="shared" si="45"/>
        <v>-2.44</v>
      </c>
    </row>
    <row r="609" spans="1:3" x14ac:dyDescent="0.25">
      <c r="A609">
        <f t="shared" si="44"/>
        <v>121.40000000000119</v>
      </c>
      <c r="B609" s="2">
        <f t="shared" si="46"/>
        <v>79.079999999999984</v>
      </c>
      <c r="C609" s="2">
        <f t="shared" si="45"/>
        <v>-2.44</v>
      </c>
    </row>
    <row r="610" spans="1:3" x14ac:dyDescent="0.25">
      <c r="A610">
        <f t="shared" si="44"/>
        <v>121.60000000000119</v>
      </c>
      <c r="B610" s="2">
        <f t="shared" si="46"/>
        <v>76.639999999999986</v>
      </c>
      <c r="C610" s="2">
        <f t="shared" si="45"/>
        <v>-2.44</v>
      </c>
    </row>
    <row r="611" spans="1:3" x14ac:dyDescent="0.25">
      <c r="A611">
        <f t="shared" si="44"/>
        <v>121.80000000000119</v>
      </c>
      <c r="B611" s="2">
        <f t="shared" si="46"/>
        <v>74.199999999999989</v>
      </c>
      <c r="C611" s="2">
        <f t="shared" si="45"/>
        <v>-2.44</v>
      </c>
    </row>
    <row r="612" spans="1:3" x14ac:dyDescent="0.25">
      <c r="A612">
        <f t="shared" si="44"/>
        <v>122.00000000000119</v>
      </c>
      <c r="B612" s="2">
        <f t="shared" si="46"/>
        <v>71.759999999999991</v>
      </c>
      <c r="C612" s="2">
        <f t="shared" si="45"/>
        <v>-2.44</v>
      </c>
    </row>
    <row r="613" spans="1:3" x14ac:dyDescent="0.25">
      <c r="A613">
        <f t="shared" si="44"/>
        <v>122.2000000000012</v>
      </c>
      <c r="B613" s="2">
        <f t="shared" si="46"/>
        <v>69.319999999999993</v>
      </c>
      <c r="C613" s="2">
        <f t="shared" si="45"/>
        <v>-2.44</v>
      </c>
    </row>
    <row r="614" spans="1:3" x14ac:dyDescent="0.25">
      <c r="A614">
        <f t="shared" si="44"/>
        <v>122.4000000000012</v>
      </c>
      <c r="B614" s="2">
        <f t="shared" si="46"/>
        <v>66.88</v>
      </c>
      <c r="C614" s="2">
        <f t="shared" si="45"/>
        <v>-2.44</v>
      </c>
    </row>
    <row r="615" spans="1:3" x14ac:dyDescent="0.25">
      <c r="A615">
        <f t="shared" si="44"/>
        <v>122.6000000000012</v>
      </c>
      <c r="B615" s="2">
        <f t="shared" si="46"/>
        <v>64.44</v>
      </c>
      <c r="C615" s="2">
        <f t="shared" si="45"/>
        <v>-2.44</v>
      </c>
    </row>
    <row r="616" spans="1:3" x14ac:dyDescent="0.25">
      <c r="A616">
        <f t="shared" si="44"/>
        <v>122.80000000000121</v>
      </c>
      <c r="B616" s="2">
        <f t="shared" si="46"/>
        <v>62</v>
      </c>
      <c r="C616" s="2">
        <f t="shared" si="45"/>
        <v>-2.44</v>
      </c>
    </row>
    <row r="617" spans="1:3" x14ac:dyDescent="0.25">
      <c r="A617">
        <f t="shared" si="44"/>
        <v>123.00000000000121</v>
      </c>
      <c r="B617" s="2">
        <f t="shared" si="46"/>
        <v>59.56</v>
      </c>
      <c r="C617" s="2">
        <f t="shared" si="45"/>
        <v>-2.44</v>
      </c>
    </row>
    <row r="618" spans="1:3" x14ac:dyDescent="0.25">
      <c r="A618">
        <f t="shared" si="44"/>
        <v>123.20000000000121</v>
      </c>
      <c r="B618" s="2">
        <f t="shared" si="46"/>
        <v>57.120000000000005</v>
      </c>
      <c r="C618" s="2">
        <f t="shared" si="45"/>
        <v>-2.44</v>
      </c>
    </row>
    <row r="619" spans="1:3" x14ac:dyDescent="0.25">
      <c r="A619">
        <f t="shared" si="44"/>
        <v>123.40000000000121</v>
      </c>
      <c r="B619" s="2">
        <f t="shared" si="46"/>
        <v>54.680000000000007</v>
      </c>
      <c r="C619" s="2">
        <f t="shared" si="45"/>
        <v>-2.44</v>
      </c>
    </row>
    <row r="620" spans="1:3" x14ac:dyDescent="0.25">
      <c r="A620">
        <f t="shared" si="44"/>
        <v>123.60000000000122</v>
      </c>
      <c r="B620" s="2">
        <f t="shared" si="46"/>
        <v>52.240000000000009</v>
      </c>
      <c r="C620" s="2">
        <f t="shared" si="45"/>
        <v>-2.44</v>
      </c>
    </row>
    <row r="621" spans="1:3" x14ac:dyDescent="0.25">
      <c r="A621">
        <f t="shared" si="44"/>
        <v>123.80000000000122</v>
      </c>
      <c r="B621" s="2">
        <f t="shared" si="46"/>
        <v>49.800000000000011</v>
      </c>
      <c r="C621" s="2">
        <f t="shared" si="45"/>
        <v>-2.44</v>
      </c>
    </row>
    <row r="622" spans="1:3" x14ac:dyDescent="0.25">
      <c r="A622">
        <f t="shared" si="44"/>
        <v>124.00000000000122</v>
      </c>
      <c r="B622" s="2">
        <f t="shared" si="46"/>
        <v>47.360000000000014</v>
      </c>
      <c r="C622" s="2">
        <f t="shared" si="45"/>
        <v>-2.44</v>
      </c>
    </row>
    <row r="623" spans="1:3" x14ac:dyDescent="0.25">
      <c r="A623">
        <f t="shared" ref="A623:A686" si="47">A622+0.2</f>
        <v>124.20000000000122</v>
      </c>
      <c r="B623" s="2">
        <f t="shared" si="46"/>
        <v>44.920000000000016</v>
      </c>
      <c r="C623" s="2">
        <f t="shared" si="45"/>
        <v>-2.44</v>
      </c>
    </row>
    <row r="624" spans="1:3" x14ac:dyDescent="0.25">
      <c r="A624">
        <f t="shared" si="47"/>
        <v>124.40000000000123</v>
      </c>
      <c r="B624" s="2">
        <f t="shared" si="46"/>
        <v>42.480000000000018</v>
      </c>
      <c r="C624" s="2">
        <f t="shared" si="45"/>
        <v>-2.44</v>
      </c>
    </row>
    <row r="625" spans="1:3" x14ac:dyDescent="0.25">
      <c r="A625">
        <f t="shared" si="47"/>
        <v>124.60000000000123</v>
      </c>
      <c r="B625" s="2">
        <f t="shared" si="46"/>
        <v>40.04000000000002</v>
      </c>
      <c r="C625" s="2">
        <f t="shared" si="45"/>
        <v>-2.44</v>
      </c>
    </row>
    <row r="626" spans="1:3" x14ac:dyDescent="0.25">
      <c r="A626">
        <f t="shared" si="47"/>
        <v>124.80000000000123</v>
      </c>
      <c r="B626" s="2">
        <f t="shared" si="46"/>
        <v>37.600000000000023</v>
      </c>
      <c r="C626" s="2">
        <f t="shared" si="45"/>
        <v>-2.44</v>
      </c>
    </row>
    <row r="627" spans="1:3" x14ac:dyDescent="0.25">
      <c r="A627">
        <f t="shared" si="47"/>
        <v>125.00000000000124</v>
      </c>
      <c r="B627" s="2">
        <f t="shared" si="46"/>
        <v>35.160000000000025</v>
      </c>
      <c r="C627" s="2">
        <f t="shared" si="45"/>
        <v>0</v>
      </c>
    </row>
    <row r="628" spans="1:3" x14ac:dyDescent="0.25">
      <c r="A628">
        <f t="shared" si="47"/>
        <v>125.20000000000124</v>
      </c>
      <c r="B628" s="2">
        <f t="shared" si="46"/>
        <v>35.160000000000025</v>
      </c>
      <c r="C628" s="2">
        <f t="shared" si="45"/>
        <v>0</v>
      </c>
    </row>
    <row r="629" spans="1:3" x14ac:dyDescent="0.25">
      <c r="A629">
        <f t="shared" si="47"/>
        <v>125.40000000000124</v>
      </c>
      <c r="B629" s="2">
        <f t="shared" si="46"/>
        <v>35.160000000000025</v>
      </c>
      <c r="C629" s="2">
        <f t="shared" si="45"/>
        <v>0</v>
      </c>
    </row>
    <row r="630" spans="1:3" x14ac:dyDescent="0.25">
      <c r="A630">
        <f t="shared" si="47"/>
        <v>125.60000000000124</v>
      </c>
      <c r="B630" s="2">
        <f t="shared" si="46"/>
        <v>35.160000000000025</v>
      </c>
      <c r="C630" s="2">
        <f t="shared" si="45"/>
        <v>0</v>
      </c>
    </row>
    <row r="631" spans="1:3" x14ac:dyDescent="0.25">
      <c r="A631">
        <f t="shared" si="47"/>
        <v>125.80000000000125</v>
      </c>
      <c r="B631" s="2">
        <f t="shared" si="46"/>
        <v>35.160000000000025</v>
      </c>
      <c r="C631" s="2">
        <f t="shared" si="45"/>
        <v>0</v>
      </c>
    </row>
    <row r="632" spans="1:3" x14ac:dyDescent="0.25">
      <c r="A632">
        <f t="shared" si="47"/>
        <v>126.00000000000125</v>
      </c>
      <c r="B632" s="2">
        <f t="shared" si="46"/>
        <v>35.160000000000025</v>
      </c>
      <c r="C632" s="2">
        <f t="shared" si="45"/>
        <v>0</v>
      </c>
    </row>
    <row r="633" spans="1:3" x14ac:dyDescent="0.25">
      <c r="A633">
        <f t="shared" si="47"/>
        <v>126.20000000000125</v>
      </c>
      <c r="B633" s="2">
        <f t="shared" si="46"/>
        <v>35.160000000000025</v>
      </c>
      <c r="C633" s="2">
        <f t="shared" si="45"/>
        <v>0</v>
      </c>
    </row>
    <row r="634" spans="1:3" x14ac:dyDescent="0.25">
      <c r="A634">
        <f t="shared" si="47"/>
        <v>126.40000000000126</v>
      </c>
      <c r="B634" s="2">
        <f t="shared" si="46"/>
        <v>35.160000000000025</v>
      </c>
      <c r="C634" s="2">
        <f t="shared" si="45"/>
        <v>0</v>
      </c>
    </row>
    <row r="635" spans="1:3" x14ac:dyDescent="0.25">
      <c r="A635">
        <f t="shared" si="47"/>
        <v>126.60000000000126</v>
      </c>
      <c r="B635" s="2">
        <f t="shared" si="46"/>
        <v>35.160000000000025</v>
      </c>
      <c r="C635" s="2">
        <f t="shared" si="45"/>
        <v>0</v>
      </c>
    </row>
    <row r="636" spans="1:3" x14ac:dyDescent="0.25">
      <c r="A636">
        <f t="shared" si="47"/>
        <v>126.80000000000126</v>
      </c>
      <c r="B636" s="2">
        <f t="shared" si="46"/>
        <v>35.160000000000025</v>
      </c>
      <c r="C636" s="2">
        <f t="shared" si="45"/>
        <v>0</v>
      </c>
    </row>
    <row r="637" spans="1:3" x14ac:dyDescent="0.25">
      <c r="A637">
        <f t="shared" si="47"/>
        <v>127.00000000000126</v>
      </c>
      <c r="B637" s="2">
        <f t="shared" si="46"/>
        <v>35.160000000000025</v>
      </c>
      <c r="C637" s="2">
        <f t="shared" si="45"/>
        <v>0</v>
      </c>
    </row>
    <row r="638" spans="1:3" x14ac:dyDescent="0.25">
      <c r="A638">
        <f t="shared" si="47"/>
        <v>127.20000000000127</v>
      </c>
      <c r="B638" s="2">
        <f t="shared" si="46"/>
        <v>35.160000000000025</v>
      </c>
      <c r="C638" s="2">
        <f t="shared" si="45"/>
        <v>0</v>
      </c>
    </row>
    <row r="639" spans="1:3" x14ac:dyDescent="0.25">
      <c r="A639">
        <f t="shared" si="47"/>
        <v>127.40000000000127</v>
      </c>
      <c r="B639" s="2">
        <f t="shared" si="46"/>
        <v>35.160000000000025</v>
      </c>
      <c r="C639" s="2">
        <f t="shared" si="45"/>
        <v>0</v>
      </c>
    </row>
    <row r="640" spans="1:3" x14ac:dyDescent="0.25">
      <c r="A640">
        <f t="shared" si="47"/>
        <v>127.60000000000127</v>
      </c>
      <c r="B640" s="2">
        <f t="shared" si="46"/>
        <v>35.160000000000025</v>
      </c>
      <c r="C640" s="2">
        <f t="shared" si="45"/>
        <v>0</v>
      </c>
    </row>
    <row r="641" spans="1:3" x14ac:dyDescent="0.25">
      <c r="A641">
        <f t="shared" si="47"/>
        <v>127.80000000000128</v>
      </c>
      <c r="B641" s="2">
        <f t="shared" si="46"/>
        <v>35.160000000000025</v>
      </c>
      <c r="C641" s="2">
        <f t="shared" si="45"/>
        <v>0</v>
      </c>
    </row>
    <row r="642" spans="1:3" x14ac:dyDescent="0.25">
      <c r="A642">
        <f t="shared" si="47"/>
        <v>128.00000000000128</v>
      </c>
      <c r="B642" s="2">
        <f t="shared" si="46"/>
        <v>35.160000000000025</v>
      </c>
      <c r="C642" s="2">
        <f t="shared" si="45"/>
        <v>0</v>
      </c>
    </row>
    <row r="643" spans="1:3" x14ac:dyDescent="0.25">
      <c r="A643">
        <f t="shared" si="47"/>
        <v>128.20000000000127</v>
      </c>
      <c r="B643" s="2">
        <f t="shared" si="46"/>
        <v>35.160000000000025</v>
      </c>
      <c r="C643" s="2">
        <f t="shared" ref="C643:C706" si="48">INDEX($K$3:$K$40,MATCH(A643,$H$2:$H$40,1))</f>
        <v>0</v>
      </c>
    </row>
    <row r="644" spans="1:3" x14ac:dyDescent="0.25">
      <c r="A644">
        <f t="shared" si="47"/>
        <v>128.40000000000126</v>
      </c>
      <c r="B644" s="2">
        <f t="shared" ref="B644:B707" si="49">B643+C643</f>
        <v>35.160000000000025</v>
      </c>
      <c r="C644" s="2">
        <f t="shared" si="48"/>
        <v>0</v>
      </c>
    </row>
    <row r="645" spans="1:3" x14ac:dyDescent="0.25">
      <c r="A645">
        <f t="shared" si="47"/>
        <v>128.60000000000124</v>
      </c>
      <c r="B645" s="2">
        <f t="shared" si="49"/>
        <v>35.160000000000025</v>
      </c>
      <c r="C645" s="2">
        <f t="shared" si="48"/>
        <v>0</v>
      </c>
    </row>
    <row r="646" spans="1:3" x14ac:dyDescent="0.25">
      <c r="A646">
        <f t="shared" si="47"/>
        <v>128.80000000000123</v>
      </c>
      <c r="B646" s="2">
        <f t="shared" si="49"/>
        <v>35.160000000000025</v>
      </c>
      <c r="C646" s="2">
        <f t="shared" si="48"/>
        <v>0</v>
      </c>
    </row>
    <row r="647" spans="1:3" x14ac:dyDescent="0.25">
      <c r="A647">
        <f t="shared" si="47"/>
        <v>129.00000000000122</v>
      </c>
      <c r="B647" s="2">
        <f t="shared" si="49"/>
        <v>35.160000000000025</v>
      </c>
      <c r="C647" s="2">
        <f t="shared" si="48"/>
        <v>0</v>
      </c>
    </row>
    <row r="648" spans="1:3" x14ac:dyDescent="0.25">
      <c r="A648">
        <f t="shared" si="47"/>
        <v>129.20000000000121</v>
      </c>
      <c r="B648" s="2">
        <f t="shared" si="49"/>
        <v>35.160000000000025</v>
      </c>
      <c r="C648" s="2">
        <f t="shared" si="48"/>
        <v>0</v>
      </c>
    </row>
    <row r="649" spans="1:3" x14ac:dyDescent="0.25">
      <c r="A649">
        <f t="shared" si="47"/>
        <v>129.4000000000012</v>
      </c>
      <c r="B649" s="2">
        <f t="shared" si="49"/>
        <v>35.160000000000025</v>
      </c>
      <c r="C649" s="2">
        <f t="shared" si="48"/>
        <v>0</v>
      </c>
    </row>
    <row r="650" spans="1:3" x14ac:dyDescent="0.25">
      <c r="A650">
        <f t="shared" si="47"/>
        <v>129.60000000000119</v>
      </c>
      <c r="B650" s="2">
        <f t="shared" si="49"/>
        <v>35.160000000000025</v>
      </c>
      <c r="C650" s="2">
        <f t="shared" si="48"/>
        <v>0</v>
      </c>
    </row>
    <row r="651" spans="1:3" x14ac:dyDescent="0.25">
      <c r="A651">
        <f t="shared" si="47"/>
        <v>129.80000000000118</v>
      </c>
      <c r="B651" s="2">
        <f t="shared" si="49"/>
        <v>35.160000000000025</v>
      </c>
      <c r="C651" s="2">
        <f t="shared" si="48"/>
        <v>0</v>
      </c>
    </row>
    <row r="652" spans="1:3" x14ac:dyDescent="0.25">
      <c r="A652">
        <f t="shared" si="47"/>
        <v>130.00000000000117</v>
      </c>
      <c r="B652" s="2">
        <f t="shared" si="49"/>
        <v>35.160000000000025</v>
      </c>
      <c r="C652" s="2">
        <f t="shared" si="48"/>
        <v>0</v>
      </c>
    </row>
    <row r="653" spans="1:3" x14ac:dyDescent="0.25">
      <c r="A653">
        <f t="shared" si="47"/>
        <v>130.20000000000115</v>
      </c>
      <c r="B653" s="2">
        <f t="shared" si="49"/>
        <v>35.160000000000025</v>
      </c>
      <c r="C653" s="2">
        <f t="shared" si="48"/>
        <v>0</v>
      </c>
    </row>
    <row r="654" spans="1:3" x14ac:dyDescent="0.25">
      <c r="A654">
        <f t="shared" si="47"/>
        <v>130.40000000000114</v>
      </c>
      <c r="B654" s="2">
        <f t="shared" si="49"/>
        <v>35.160000000000025</v>
      </c>
      <c r="C654" s="2">
        <f t="shared" si="48"/>
        <v>0</v>
      </c>
    </row>
    <row r="655" spans="1:3" x14ac:dyDescent="0.25">
      <c r="A655">
        <f t="shared" si="47"/>
        <v>130.60000000000113</v>
      </c>
      <c r="B655" s="2">
        <f t="shared" si="49"/>
        <v>35.160000000000025</v>
      </c>
      <c r="C655" s="2">
        <f t="shared" si="48"/>
        <v>0</v>
      </c>
    </row>
    <row r="656" spans="1:3" x14ac:dyDescent="0.25">
      <c r="A656">
        <f t="shared" si="47"/>
        <v>130.80000000000112</v>
      </c>
      <c r="B656" s="2">
        <f t="shared" si="49"/>
        <v>35.160000000000025</v>
      </c>
      <c r="C656" s="2">
        <f t="shared" si="48"/>
        <v>0</v>
      </c>
    </row>
    <row r="657" spans="1:3" x14ac:dyDescent="0.25">
      <c r="A657">
        <f t="shared" si="47"/>
        <v>131.00000000000111</v>
      </c>
      <c r="B657" s="2">
        <f t="shared" si="49"/>
        <v>35.160000000000025</v>
      </c>
      <c r="C657" s="2">
        <f t="shared" si="48"/>
        <v>0</v>
      </c>
    </row>
    <row r="658" spans="1:3" x14ac:dyDescent="0.25">
      <c r="A658">
        <f t="shared" si="47"/>
        <v>131.2000000000011</v>
      </c>
      <c r="B658" s="2">
        <f t="shared" si="49"/>
        <v>35.160000000000025</v>
      </c>
      <c r="C658" s="2">
        <f t="shared" si="48"/>
        <v>0</v>
      </c>
    </row>
    <row r="659" spans="1:3" x14ac:dyDescent="0.25">
      <c r="A659">
        <f t="shared" si="47"/>
        <v>131.40000000000109</v>
      </c>
      <c r="B659" s="2">
        <f t="shared" si="49"/>
        <v>35.160000000000025</v>
      </c>
      <c r="C659" s="2">
        <f t="shared" si="48"/>
        <v>0</v>
      </c>
    </row>
    <row r="660" spans="1:3" x14ac:dyDescent="0.25">
      <c r="A660">
        <f t="shared" si="47"/>
        <v>131.60000000000107</v>
      </c>
      <c r="B660" s="2">
        <f t="shared" si="49"/>
        <v>35.160000000000025</v>
      </c>
      <c r="C660" s="2">
        <f t="shared" si="48"/>
        <v>0</v>
      </c>
    </row>
    <row r="661" spans="1:3" x14ac:dyDescent="0.25">
      <c r="A661">
        <f t="shared" si="47"/>
        <v>131.80000000000106</v>
      </c>
      <c r="B661" s="2">
        <f t="shared" si="49"/>
        <v>35.160000000000025</v>
      </c>
      <c r="C661" s="2">
        <f t="shared" si="48"/>
        <v>0</v>
      </c>
    </row>
    <row r="662" spans="1:3" x14ac:dyDescent="0.25">
      <c r="A662">
        <f t="shared" si="47"/>
        <v>132.00000000000105</v>
      </c>
      <c r="B662" s="2">
        <f t="shared" si="49"/>
        <v>35.160000000000025</v>
      </c>
      <c r="C662" s="2">
        <f t="shared" si="48"/>
        <v>0</v>
      </c>
    </row>
    <row r="663" spans="1:3" x14ac:dyDescent="0.25">
      <c r="A663">
        <f t="shared" si="47"/>
        <v>132.20000000000104</v>
      </c>
      <c r="B663" s="2">
        <f t="shared" si="49"/>
        <v>35.160000000000025</v>
      </c>
      <c r="C663" s="2">
        <f t="shared" si="48"/>
        <v>0</v>
      </c>
    </row>
    <row r="664" spans="1:3" x14ac:dyDescent="0.25">
      <c r="A664">
        <f t="shared" si="47"/>
        <v>132.40000000000103</v>
      </c>
      <c r="B664" s="2">
        <f t="shared" si="49"/>
        <v>35.160000000000025</v>
      </c>
      <c r="C664" s="2">
        <f t="shared" si="48"/>
        <v>0</v>
      </c>
    </row>
    <row r="665" spans="1:3" x14ac:dyDescent="0.25">
      <c r="A665">
        <f t="shared" si="47"/>
        <v>132.60000000000102</v>
      </c>
      <c r="B665" s="2">
        <f t="shared" si="49"/>
        <v>35.160000000000025</v>
      </c>
      <c r="C665" s="2">
        <f t="shared" si="48"/>
        <v>0</v>
      </c>
    </row>
    <row r="666" spans="1:3" x14ac:dyDescent="0.25">
      <c r="A666">
        <f t="shared" si="47"/>
        <v>132.80000000000101</v>
      </c>
      <c r="B666" s="2">
        <f t="shared" si="49"/>
        <v>35.160000000000025</v>
      </c>
      <c r="C666" s="2">
        <f t="shared" si="48"/>
        <v>0</v>
      </c>
    </row>
    <row r="667" spans="1:3" x14ac:dyDescent="0.25">
      <c r="A667">
        <f t="shared" si="47"/>
        <v>133.00000000000099</v>
      </c>
      <c r="B667" s="2">
        <f t="shared" si="49"/>
        <v>35.160000000000025</v>
      </c>
      <c r="C667" s="2">
        <f t="shared" si="48"/>
        <v>0</v>
      </c>
    </row>
    <row r="668" spans="1:3" x14ac:dyDescent="0.25">
      <c r="A668">
        <f t="shared" si="47"/>
        <v>133.20000000000098</v>
      </c>
      <c r="B668" s="2">
        <f t="shared" si="49"/>
        <v>35.160000000000025</v>
      </c>
      <c r="C668" s="2">
        <f t="shared" si="48"/>
        <v>0</v>
      </c>
    </row>
    <row r="669" spans="1:3" x14ac:dyDescent="0.25">
      <c r="A669">
        <f t="shared" si="47"/>
        <v>133.40000000000097</v>
      </c>
      <c r="B669" s="2">
        <f t="shared" si="49"/>
        <v>35.160000000000025</v>
      </c>
      <c r="C669" s="2">
        <f t="shared" si="48"/>
        <v>0</v>
      </c>
    </row>
    <row r="670" spans="1:3" x14ac:dyDescent="0.25">
      <c r="A670">
        <f t="shared" si="47"/>
        <v>133.60000000000096</v>
      </c>
      <c r="B670" s="2">
        <f t="shared" si="49"/>
        <v>35.160000000000025</v>
      </c>
      <c r="C670" s="2">
        <f t="shared" si="48"/>
        <v>0</v>
      </c>
    </row>
    <row r="671" spans="1:3" x14ac:dyDescent="0.25">
      <c r="A671">
        <f t="shared" si="47"/>
        <v>133.80000000000095</v>
      </c>
      <c r="B671" s="2">
        <f t="shared" si="49"/>
        <v>35.160000000000025</v>
      </c>
      <c r="C671" s="2">
        <f t="shared" si="48"/>
        <v>0</v>
      </c>
    </row>
    <row r="672" spans="1:3" x14ac:dyDescent="0.25">
      <c r="A672">
        <f t="shared" si="47"/>
        <v>134.00000000000094</v>
      </c>
      <c r="B672" s="2">
        <f t="shared" si="49"/>
        <v>35.160000000000025</v>
      </c>
      <c r="C672" s="2">
        <f t="shared" si="48"/>
        <v>0</v>
      </c>
    </row>
    <row r="673" spans="1:3" x14ac:dyDescent="0.25">
      <c r="A673">
        <f t="shared" si="47"/>
        <v>134.20000000000093</v>
      </c>
      <c r="B673" s="2">
        <f t="shared" si="49"/>
        <v>35.160000000000025</v>
      </c>
      <c r="C673" s="2">
        <f t="shared" si="48"/>
        <v>0</v>
      </c>
    </row>
    <row r="674" spans="1:3" x14ac:dyDescent="0.25">
      <c r="A674">
        <f t="shared" si="47"/>
        <v>134.40000000000092</v>
      </c>
      <c r="B674" s="2">
        <f t="shared" si="49"/>
        <v>35.160000000000025</v>
      </c>
      <c r="C674" s="2">
        <f t="shared" si="48"/>
        <v>0</v>
      </c>
    </row>
    <row r="675" spans="1:3" x14ac:dyDescent="0.25">
      <c r="A675">
        <f t="shared" si="47"/>
        <v>134.6000000000009</v>
      </c>
      <c r="B675" s="2">
        <f t="shared" si="49"/>
        <v>35.160000000000025</v>
      </c>
      <c r="C675" s="2">
        <f t="shared" si="48"/>
        <v>0</v>
      </c>
    </row>
    <row r="676" spans="1:3" x14ac:dyDescent="0.25">
      <c r="A676">
        <f t="shared" si="47"/>
        <v>134.80000000000089</v>
      </c>
      <c r="B676" s="2">
        <f t="shared" si="49"/>
        <v>35.160000000000025</v>
      </c>
      <c r="C676" s="2">
        <f t="shared" si="48"/>
        <v>0</v>
      </c>
    </row>
    <row r="677" spans="1:3" x14ac:dyDescent="0.25">
      <c r="A677">
        <f t="shared" si="47"/>
        <v>135.00000000000088</v>
      </c>
      <c r="B677" s="2">
        <f t="shared" si="49"/>
        <v>35.160000000000025</v>
      </c>
      <c r="C677" s="2">
        <f t="shared" si="48"/>
        <v>0.87999999999999967</v>
      </c>
    </row>
    <row r="678" spans="1:3" x14ac:dyDescent="0.25">
      <c r="A678">
        <f t="shared" si="47"/>
        <v>135.20000000000087</v>
      </c>
      <c r="B678" s="2">
        <f t="shared" si="49"/>
        <v>36.040000000000028</v>
      </c>
      <c r="C678" s="2">
        <f t="shared" si="48"/>
        <v>0.87999999999999967</v>
      </c>
    </row>
    <row r="679" spans="1:3" x14ac:dyDescent="0.25">
      <c r="A679">
        <f t="shared" si="47"/>
        <v>135.40000000000086</v>
      </c>
      <c r="B679" s="2">
        <f t="shared" si="49"/>
        <v>36.92000000000003</v>
      </c>
      <c r="C679" s="2">
        <f t="shared" si="48"/>
        <v>0.87999999999999967</v>
      </c>
    </row>
    <row r="680" spans="1:3" x14ac:dyDescent="0.25">
      <c r="A680">
        <f t="shared" si="47"/>
        <v>135.60000000000085</v>
      </c>
      <c r="B680" s="2">
        <f t="shared" si="49"/>
        <v>37.800000000000033</v>
      </c>
      <c r="C680" s="2">
        <f t="shared" si="48"/>
        <v>0.87999999999999967</v>
      </c>
    </row>
    <row r="681" spans="1:3" x14ac:dyDescent="0.25">
      <c r="A681">
        <f t="shared" si="47"/>
        <v>135.80000000000084</v>
      </c>
      <c r="B681" s="2">
        <f t="shared" si="49"/>
        <v>38.680000000000035</v>
      </c>
      <c r="C681" s="2">
        <f t="shared" si="48"/>
        <v>0.87999999999999967</v>
      </c>
    </row>
    <row r="682" spans="1:3" x14ac:dyDescent="0.25">
      <c r="A682">
        <f t="shared" si="47"/>
        <v>136.00000000000082</v>
      </c>
      <c r="B682" s="2">
        <f t="shared" si="49"/>
        <v>39.560000000000038</v>
      </c>
      <c r="C682" s="2">
        <f t="shared" si="48"/>
        <v>0.87999999999999967</v>
      </c>
    </row>
    <row r="683" spans="1:3" x14ac:dyDescent="0.25">
      <c r="A683">
        <f t="shared" si="47"/>
        <v>136.20000000000081</v>
      </c>
      <c r="B683" s="2">
        <f t="shared" si="49"/>
        <v>40.44000000000004</v>
      </c>
      <c r="C683" s="2">
        <f t="shared" si="48"/>
        <v>0.87999999999999967</v>
      </c>
    </row>
    <row r="684" spans="1:3" x14ac:dyDescent="0.25">
      <c r="A684">
        <f t="shared" si="47"/>
        <v>136.4000000000008</v>
      </c>
      <c r="B684" s="2">
        <f t="shared" si="49"/>
        <v>41.320000000000043</v>
      </c>
      <c r="C684" s="2">
        <f t="shared" si="48"/>
        <v>0.87999999999999967</v>
      </c>
    </row>
    <row r="685" spans="1:3" x14ac:dyDescent="0.25">
      <c r="A685">
        <f t="shared" si="47"/>
        <v>136.60000000000079</v>
      </c>
      <c r="B685" s="2">
        <f t="shared" si="49"/>
        <v>42.200000000000045</v>
      </c>
      <c r="C685" s="2">
        <f t="shared" si="48"/>
        <v>0.87999999999999967</v>
      </c>
    </row>
    <row r="686" spans="1:3" x14ac:dyDescent="0.25">
      <c r="A686">
        <f t="shared" si="47"/>
        <v>136.80000000000078</v>
      </c>
      <c r="B686" s="2">
        <f t="shared" si="49"/>
        <v>43.080000000000048</v>
      </c>
      <c r="C686" s="2">
        <f t="shared" si="48"/>
        <v>0.87999999999999967</v>
      </c>
    </row>
    <row r="687" spans="1:3" x14ac:dyDescent="0.25">
      <c r="A687">
        <f t="shared" ref="A687:A750" si="50">A686+0.2</f>
        <v>137.00000000000077</v>
      </c>
      <c r="B687" s="2">
        <f t="shared" si="49"/>
        <v>43.960000000000051</v>
      </c>
      <c r="C687" s="2">
        <f t="shared" si="48"/>
        <v>0.87999999999999967</v>
      </c>
    </row>
    <row r="688" spans="1:3" x14ac:dyDescent="0.25">
      <c r="A688">
        <f t="shared" si="50"/>
        <v>137.20000000000076</v>
      </c>
      <c r="B688" s="2">
        <f t="shared" si="49"/>
        <v>44.840000000000053</v>
      </c>
      <c r="C688" s="2">
        <f t="shared" si="48"/>
        <v>0.87999999999999967</v>
      </c>
    </row>
    <row r="689" spans="1:3" x14ac:dyDescent="0.25">
      <c r="A689">
        <f t="shared" si="50"/>
        <v>137.40000000000074</v>
      </c>
      <c r="B689" s="2">
        <f t="shared" si="49"/>
        <v>45.720000000000056</v>
      </c>
      <c r="C689" s="2">
        <f t="shared" si="48"/>
        <v>0.87999999999999967</v>
      </c>
    </row>
    <row r="690" spans="1:3" x14ac:dyDescent="0.25">
      <c r="A690">
        <f t="shared" si="50"/>
        <v>137.60000000000073</v>
      </c>
      <c r="B690" s="2">
        <f t="shared" si="49"/>
        <v>46.600000000000058</v>
      </c>
      <c r="C690" s="2">
        <f t="shared" si="48"/>
        <v>0.87999999999999967</v>
      </c>
    </row>
    <row r="691" spans="1:3" x14ac:dyDescent="0.25">
      <c r="A691">
        <f t="shared" si="50"/>
        <v>137.80000000000072</v>
      </c>
      <c r="B691" s="2">
        <f t="shared" si="49"/>
        <v>47.480000000000061</v>
      </c>
      <c r="C691" s="2">
        <f t="shared" si="48"/>
        <v>0.87999999999999967</v>
      </c>
    </row>
    <row r="692" spans="1:3" x14ac:dyDescent="0.25">
      <c r="A692">
        <f t="shared" si="50"/>
        <v>138.00000000000071</v>
      </c>
      <c r="B692" s="2">
        <f t="shared" si="49"/>
        <v>48.360000000000063</v>
      </c>
      <c r="C692" s="2">
        <f t="shared" si="48"/>
        <v>0.87999999999999967</v>
      </c>
    </row>
    <row r="693" spans="1:3" x14ac:dyDescent="0.25">
      <c r="A693">
        <f t="shared" si="50"/>
        <v>138.2000000000007</v>
      </c>
      <c r="B693" s="2">
        <f t="shared" si="49"/>
        <v>49.240000000000066</v>
      </c>
      <c r="C693" s="2">
        <f t="shared" si="48"/>
        <v>0.87999999999999967</v>
      </c>
    </row>
    <row r="694" spans="1:3" x14ac:dyDescent="0.25">
      <c r="A694">
        <f t="shared" si="50"/>
        <v>138.40000000000069</v>
      </c>
      <c r="B694" s="2">
        <f t="shared" si="49"/>
        <v>50.120000000000068</v>
      </c>
      <c r="C694" s="2">
        <f t="shared" si="48"/>
        <v>0.87999999999999967</v>
      </c>
    </row>
    <row r="695" spans="1:3" x14ac:dyDescent="0.25">
      <c r="A695">
        <f t="shared" si="50"/>
        <v>138.60000000000068</v>
      </c>
      <c r="B695" s="2">
        <f t="shared" si="49"/>
        <v>51.000000000000071</v>
      </c>
      <c r="C695" s="2">
        <f t="shared" si="48"/>
        <v>0.87999999999999967</v>
      </c>
    </row>
    <row r="696" spans="1:3" x14ac:dyDescent="0.25">
      <c r="A696">
        <f t="shared" si="50"/>
        <v>138.80000000000067</v>
      </c>
      <c r="B696" s="2">
        <f t="shared" si="49"/>
        <v>51.880000000000074</v>
      </c>
      <c r="C696" s="2">
        <f t="shared" si="48"/>
        <v>0.87999999999999967</v>
      </c>
    </row>
    <row r="697" spans="1:3" x14ac:dyDescent="0.25">
      <c r="A697">
        <f t="shared" si="50"/>
        <v>139.00000000000065</v>
      </c>
      <c r="B697" s="2">
        <f t="shared" si="49"/>
        <v>52.760000000000076</v>
      </c>
      <c r="C697" s="2">
        <f t="shared" si="48"/>
        <v>0.87999999999999967</v>
      </c>
    </row>
    <row r="698" spans="1:3" x14ac:dyDescent="0.25">
      <c r="A698">
        <f t="shared" si="50"/>
        <v>139.20000000000064</v>
      </c>
      <c r="B698" s="2">
        <f t="shared" si="49"/>
        <v>53.640000000000079</v>
      </c>
      <c r="C698" s="2">
        <f t="shared" si="48"/>
        <v>0.87999999999999967</v>
      </c>
    </row>
    <row r="699" spans="1:3" x14ac:dyDescent="0.25">
      <c r="A699">
        <f t="shared" si="50"/>
        <v>139.40000000000063</v>
      </c>
      <c r="B699" s="2">
        <f t="shared" si="49"/>
        <v>54.520000000000081</v>
      </c>
      <c r="C699" s="2">
        <f t="shared" si="48"/>
        <v>0.87999999999999967</v>
      </c>
    </row>
    <row r="700" spans="1:3" x14ac:dyDescent="0.25">
      <c r="A700">
        <f t="shared" si="50"/>
        <v>139.60000000000062</v>
      </c>
      <c r="B700" s="2">
        <f t="shared" si="49"/>
        <v>55.400000000000084</v>
      </c>
      <c r="C700" s="2">
        <f t="shared" si="48"/>
        <v>0.87999999999999967</v>
      </c>
    </row>
    <row r="701" spans="1:3" x14ac:dyDescent="0.25">
      <c r="A701">
        <f t="shared" si="50"/>
        <v>139.80000000000061</v>
      </c>
      <c r="B701" s="2">
        <f t="shared" si="49"/>
        <v>56.280000000000086</v>
      </c>
      <c r="C701" s="2">
        <f t="shared" si="48"/>
        <v>0.87999999999999967</v>
      </c>
    </row>
    <row r="702" spans="1:3" x14ac:dyDescent="0.25">
      <c r="A702">
        <f t="shared" si="50"/>
        <v>140.0000000000006</v>
      </c>
      <c r="B702" s="2">
        <f t="shared" si="49"/>
        <v>57.160000000000089</v>
      </c>
      <c r="C702" s="2">
        <f t="shared" si="48"/>
        <v>0</v>
      </c>
    </row>
    <row r="703" spans="1:3" x14ac:dyDescent="0.25">
      <c r="A703">
        <f t="shared" si="50"/>
        <v>140.20000000000059</v>
      </c>
      <c r="B703" s="2">
        <f t="shared" si="49"/>
        <v>57.160000000000089</v>
      </c>
      <c r="C703" s="2">
        <f t="shared" si="48"/>
        <v>0</v>
      </c>
    </row>
    <row r="704" spans="1:3" x14ac:dyDescent="0.25">
      <c r="A704">
        <f t="shared" si="50"/>
        <v>140.40000000000057</v>
      </c>
      <c r="B704" s="2">
        <f t="shared" si="49"/>
        <v>57.160000000000089</v>
      </c>
      <c r="C704" s="2">
        <f t="shared" si="48"/>
        <v>0</v>
      </c>
    </row>
    <row r="705" spans="1:3" x14ac:dyDescent="0.25">
      <c r="A705">
        <f t="shared" si="50"/>
        <v>140.60000000000056</v>
      </c>
      <c r="B705" s="2">
        <f t="shared" si="49"/>
        <v>57.160000000000089</v>
      </c>
      <c r="C705" s="2">
        <f t="shared" si="48"/>
        <v>0</v>
      </c>
    </row>
    <row r="706" spans="1:3" x14ac:dyDescent="0.25">
      <c r="A706">
        <f t="shared" si="50"/>
        <v>140.80000000000055</v>
      </c>
      <c r="B706" s="2">
        <f t="shared" si="49"/>
        <v>57.160000000000089</v>
      </c>
      <c r="C706" s="2">
        <f t="shared" si="48"/>
        <v>0</v>
      </c>
    </row>
    <row r="707" spans="1:3" x14ac:dyDescent="0.25">
      <c r="A707">
        <f t="shared" si="50"/>
        <v>141.00000000000054</v>
      </c>
      <c r="B707" s="2">
        <f t="shared" si="49"/>
        <v>57.160000000000089</v>
      </c>
      <c r="C707" s="2">
        <f t="shared" ref="C707:C770" si="51">INDEX($K$3:$K$40,MATCH(A707,$H$2:$H$40,1))</f>
        <v>0</v>
      </c>
    </row>
    <row r="708" spans="1:3" x14ac:dyDescent="0.25">
      <c r="A708">
        <f t="shared" si="50"/>
        <v>141.20000000000053</v>
      </c>
      <c r="B708" s="2">
        <f t="shared" ref="B708:B771" si="52">B707+C707</f>
        <v>57.160000000000089</v>
      </c>
      <c r="C708" s="2">
        <f t="shared" si="51"/>
        <v>0</v>
      </c>
    </row>
    <row r="709" spans="1:3" x14ac:dyDescent="0.25">
      <c r="A709">
        <f t="shared" si="50"/>
        <v>141.40000000000052</v>
      </c>
      <c r="B709" s="2">
        <f t="shared" si="52"/>
        <v>57.160000000000089</v>
      </c>
      <c r="C709" s="2">
        <f t="shared" si="51"/>
        <v>0</v>
      </c>
    </row>
    <row r="710" spans="1:3" x14ac:dyDescent="0.25">
      <c r="A710">
        <f t="shared" si="50"/>
        <v>141.60000000000051</v>
      </c>
      <c r="B710" s="2">
        <f t="shared" si="52"/>
        <v>57.160000000000089</v>
      </c>
      <c r="C710" s="2">
        <f t="shared" si="51"/>
        <v>0</v>
      </c>
    </row>
    <row r="711" spans="1:3" x14ac:dyDescent="0.25">
      <c r="A711">
        <f t="shared" si="50"/>
        <v>141.80000000000049</v>
      </c>
      <c r="B711" s="2">
        <f t="shared" si="52"/>
        <v>57.160000000000089</v>
      </c>
      <c r="C711" s="2">
        <f t="shared" si="51"/>
        <v>0</v>
      </c>
    </row>
    <row r="712" spans="1:3" x14ac:dyDescent="0.25">
      <c r="A712">
        <f t="shared" si="50"/>
        <v>142.00000000000048</v>
      </c>
      <c r="B712" s="2">
        <f t="shared" si="52"/>
        <v>57.160000000000089</v>
      </c>
      <c r="C712" s="2">
        <f t="shared" si="51"/>
        <v>0</v>
      </c>
    </row>
    <row r="713" spans="1:3" x14ac:dyDescent="0.25">
      <c r="A713">
        <f t="shared" si="50"/>
        <v>142.20000000000047</v>
      </c>
      <c r="B713" s="2">
        <f t="shared" si="52"/>
        <v>57.160000000000089</v>
      </c>
      <c r="C713" s="2">
        <f t="shared" si="51"/>
        <v>0</v>
      </c>
    </row>
    <row r="714" spans="1:3" x14ac:dyDescent="0.25">
      <c r="A714">
        <f t="shared" si="50"/>
        <v>142.40000000000046</v>
      </c>
      <c r="B714" s="2">
        <f t="shared" si="52"/>
        <v>57.160000000000089</v>
      </c>
      <c r="C714" s="2">
        <f t="shared" si="51"/>
        <v>0</v>
      </c>
    </row>
    <row r="715" spans="1:3" x14ac:dyDescent="0.25">
      <c r="A715">
        <f t="shared" si="50"/>
        <v>142.60000000000045</v>
      </c>
      <c r="B715" s="2">
        <f t="shared" si="52"/>
        <v>57.160000000000089</v>
      </c>
      <c r="C715" s="2">
        <f t="shared" si="51"/>
        <v>0</v>
      </c>
    </row>
    <row r="716" spans="1:3" x14ac:dyDescent="0.25">
      <c r="A716">
        <f t="shared" si="50"/>
        <v>142.80000000000044</v>
      </c>
      <c r="B716" s="2">
        <f t="shared" si="52"/>
        <v>57.160000000000089</v>
      </c>
      <c r="C716" s="2">
        <f t="shared" si="51"/>
        <v>0</v>
      </c>
    </row>
    <row r="717" spans="1:3" x14ac:dyDescent="0.25">
      <c r="A717">
        <f t="shared" si="50"/>
        <v>143.00000000000043</v>
      </c>
      <c r="B717" s="2">
        <f t="shared" si="52"/>
        <v>57.160000000000089</v>
      </c>
      <c r="C717" s="2">
        <f t="shared" si="51"/>
        <v>0</v>
      </c>
    </row>
    <row r="718" spans="1:3" x14ac:dyDescent="0.25">
      <c r="A718">
        <f t="shared" si="50"/>
        <v>143.20000000000041</v>
      </c>
      <c r="B718" s="2">
        <f t="shared" si="52"/>
        <v>57.160000000000089</v>
      </c>
      <c r="C718" s="2">
        <f t="shared" si="51"/>
        <v>0</v>
      </c>
    </row>
    <row r="719" spans="1:3" x14ac:dyDescent="0.25">
      <c r="A719">
        <f t="shared" si="50"/>
        <v>143.4000000000004</v>
      </c>
      <c r="B719" s="2">
        <f t="shared" si="52"/>
        <v>57.160000000000089</v>
      </c>
      <c r="C719" s="2">
        <f t="shared" si="51"/>
        <v>0</v>
      </c>
    </row>
    <row r="720" spans="1:3" x14ac:dyDescent="0.25">
      <c r="A720">
        <f t="shared" si="50"/>
        <v>143.60000000000039</v>
      </c>
      <c r="B720" s="2">
        <f t="shared" si="52"/>
        <v>57.160000000000089</v>
      </c>
      <c r="C720" s="2">
        <f t="shared" si="51"/>
        <v>0</v>
      </c>
    </row>
    <row r="721" spans="1:3" x14ac:dyDescent="0.25">
      <c r="A721">
        <f t="shared" si="50"/>
        <v>143.80000000000038</v>
      </c>
      <c r="B721" s="2">
        <f t="shared" si="52"/>
        <v>57.160000000000089</v>
      </c>
      <c r="C721" s="2">
        <f t="shared" si="51"/>
        <v>0</v>
      </c>
    </row>
    <row r="722" spans="1:3" x14ac:dyDescent="0.25">
      <c r="A722">
        <f t="shared" si="50"/>
        <v>144.00000000000037</v>
      </c>
      <c r="B722" s="2">
        <f t="shared" si="52"/>
        <v>57.160000000000089</v>
      </c>
      <c r="C722" s="2">
        <f t="shared" si="51"/>
        <v>0</v>
      </c>
    </row>
    <row r="723" spans="1:3" x14ac:dyDescent="0.25">
      <c r="A723">
        <f t="shared" si="50"/>
        <v>144.20000000000036</v>
      </c>
      <c r="B723" s="2">
        <f t="shared" si="52"/>
        <v>57.160000000000089</v>
      </c>
      <c r="C723" s="2">
        <f t="shared" si="51"/>
        <v>0</v>
      </c>
    </row>
    <row r="724" spans="1:3" x14ac:dyDescent="0.25">
      <c r="A724">
        <f t="shared" si="50"/>
        <v>144.40000000000035</v>
      </c>
      <c r="B724" s="2">
        <f t="shared" si="52"/>
        <v>57.160000000000089</v>
      </c>
      <c r="C724" s="2">
        <f t="shared" si="51"/>
        <v>0</v>
      </c>
    </row>
    <row r="725" spans="1:3" x14ac:dyDescent="0.25">
      <c r="A725">
        <f t="shared" si="50"/>
        <v>144.60000000000034</v>
      </c>
      <c r="B725" s="2">
        <f t="shared" si="52"/>
        <v>57.160000000000089</v>
      </c>
      <c r="C725" s="2">
        <f t="shared" si="51"/>
        <v>0</v>
      </c>
    </row>
    <row r="726" spans="1:3" x14ac:dyDescent="0.25">
      <c r="A726">
        <f t="shared" si="50"/>
        <v>144.80000000000032</v>
      </c>
      <c r="B726" s="2">
        <f t="shared" si="52"/>
        <v>57.160000000000089</v>
      </c>
      <c r="C726" s="2">
        <f t="shared" si="51"/>
        <v>0</v>
      </c>
    </row>
    <row r="727" spans="1:3" x14ac:dyDescent="0.25">
      <c r="A727">
        <f t="shared" si="50"/>
        <v>145.00000000000031</v>
      </c>
      <c r="B727" s="2">
        <f t="shared" si="52"/>
        <v>57.160000000000089</v>
      </c>
      <c r="C727" s="2">
        <f t="shared" si="51"/>
        <v>-0.87999999999999967</v>
      </c>
    </row>
    <row r="728" spans="1:3" x14ac:dyDescent="0.25">
      <c r="A728">
        <f t="shared" si="50"/>
        <v>145.2000000000003</v>
      </c>
      <c r="B728" s="2">
        <f t="shared" si="52"/>
        <v>56.280000000000086</v>
      </c>
      <c r="C728" s="2">
        <f t="shared" si="51"/>
        <v>-0.87999999999999967</v>
      </c>
    </row>
    <row r="729" spans="1:3" x14ac:dyDescent="0.25">
      <c r="A729">
        <f t="shared" si="50"/>
        <v>145.40000000000029</v>
      </c>
      <c r="B729" s="2">
        <f t="shared" si="52"/>
        <v>55.400000000000084</v>
      </c>
      <c r="C729" s="2">
        <f t="shared" si="51"/>
        <v>-0.87999999999999967</v>
      </c>
    </row>
    <row r="730" spans="1:3" x14ac:dyDescent="0.25">
      <c r="A730">
        <f t="shared" si="50"/>
        <v>145.60000000000028</v>
      </c>
      <c r="B730" s="2">
        <f t="shared" si="52"/>
        <v>54.520000000000081</v>
      </c>
      <c r="C730" s="2">
        <f t="shared" si="51"/>
        <v>-0.87999999999999967</v>
      </c>
    </row>
    <row r="731" spans="1:3" x14ac:dyDescent="0.25">
      <c r="A731">
        <f t="shared" si="50"/>
        <v>145.80000000000027</v>
      </c>
      <c r="B731" s="2">
        <f t="shared" si="52"/>
        <v>53.640000000000079</v>
      </c>
      <c r="C731" s="2">
        <f t="shared" si="51"/>
        <v>-0.87999999999999967</v>
      </c>
    </row>
    <row r="732" spans="1:3" x14ac:dyDescent="0.25">
      <c r="A732">
        <f t="shared" si="50"/>
        <v>146.00000000000026</v>
      </c>
      <c r="B732" s="2">
        <f t="shared" si="52"/>
        <v>52.760000000000076</v>
      </c>
      <c r="C732" s="2">
        <f t="shared" si="51"/>
        <v>-0.87999999999999967</v>
      </c>
    </row>
    <row r="733" spans="1:3" x14ac:dyDescent="0.25">
      <c r="A733">
        <f t="shared" si="50"/>
        <v>146.20000000000024</v>
      </c>
      <c r="B733" s="2">
        <f t="shared" si="52"/>
        <v>51.880000000000074</v>
      </c>
      <c r="C733" s="2">
        <f t="shared" si="51"/>
        <v>-0.87999999999999967</v>
      </c>
    </row>
    <row r="734" spans="1:3" x14ac:dyDescent="0.25">
      <c r="A734">
        <f t="shared" si="50"/>
        <v>146.40000000000023</v>
      </c>
      <c r="B734" s="2">
        <f t="shared" si="52"/>
        <v>51.000000000000071</v>
      </c>
      <c r="C734" s="2">
        <f t="shared" si="51"/>
        <v>-0.87999999999999967</v>
      </c>
    </row>
    <row r="735" spans="1:3" x14ac:dyDescent="0.25">
      <c r="A735">
        <f t="shared" si="50"/>
        <v>146.60000000000022</v>
      </c>
      <c r="B735" s="2">
        <f t="shared" si="52"/>
        <v>50.120000000000068</v>
      </c>
      <c r="C735" s="2">
        <f t="shared" si="51"/>
        <v>-0.87999999999999967</v>
      </c>
    </row>
    <row r="736" spans="1:3" x14ac:dyDescent="0.25">
      <c r="A736">
        <f t="shared" si="50"/>
        <v>146.80000000000021</v>
      </c>
      <c r="B736" s="2">
        <f t="shared" si="52"/>
        <v>49.240000000000066</v>
      </c>
      <c r="C736" s="2">
        <f t="shared" si="51"/>
        <v>-0.87999999999999967</v>
      </c>
    </row>
    <row r="737" spans="1:3" x14ac:dyDescent="0.25">
      <c r="A737">
        <f t="shared" si="50"/>
        <v>147.0000000000002</v>
      </c>
      <c r="B737" s="2">
        <f t="shared" si="52"/>
        <v>48.360000000000063</v>
      </c>
      <c r="C737" s="2">
        <f t="shared" si="51"/>
        <v>-0.87999999999999967</v>
      </c>
    </row>
    <row r="738" spans="1:3" x14ac:dyDescent="0.25">
      <c r="A738">
        <f t="shared" si="50"/>
        <v>147.20000000000019</v>
      </c>
      <c r="B738" s="2">
        <f t="shared" si="52"/>
        <v>47.480000000000061</v>
      </c>
      <c r="C738" s="2">
        <f t="shared" si="51"/>
        <v>-0.87999999999999967</v>
      </c>
    </row>
    <row r="739" spans="1:3" x14ac:dyDescent="0.25">
      <c r="A739">
        <f t="shared" si="50"/>
        <v>147.40000000000018</v>
      </c>
      <c r="B739" s="2">
        <f t="shared" si="52"/>
        <v>46.600000000000058</v>
      </c>
      <c r="C739" s="2">
        <f t="shared" si="51"/>
        <v>-0.87999999999999967</v>
      </c>
    </row>
    <row r="740" spans="1:3" x14ac:dyDescent="0.25">
      <c r="A740">
        <f t="shared" si="50"/>
        <v>147.60000000000016</v>
      </c>
      <c r="B740" s="2">
        <f t="shared" si="52"/>
        <v>45.720000000000056</v>
      </c>
      <c r="C740" s="2">
        <f t="shared" si="51"/>
        <v>-0.87999999999999967</v>
      </c>
    </row>
    <row r="741" spans="1:3" x14ac:dyDescent="0.25">
      <c r="A741">
        <f t="shared" si="50"/>
        <v>147.80000000000015</v>
      </c>
      <c r="B741" s="2">
        <f t="shared" si="52"/>
        <v>44.840000000000053</v>
      </c>
      <c r="C741" s="2">
        <f t="shared" si="51"/>
        <v>-0.87999999999999967</v>
      </c>
    </row>
    <row r="742" spans="1:3" x14ac:dyDescent="0.25">
      <c r="A742">
        <f t="shared" si="50"/>
        <v>148.00000000000014</v>
      </c>
      <c r="B742" s="2">
        <f t="shared" si="52"/>
        <v>43.960000000000051</v>
      </c>
      <c r="C742" s="2">
        <f t="shared" si="51"/>
        <v>-0.87999999999999967</v>
      </c>
    </row>
    <row r="743" spans="1:3" x14ac:dyDescent="0.25">
      <c r="A743">
        <f t="shared" si="50"/>
        <v>148.20000000000013</v>
      </c>
      <c r="B743" s="2">
        <f t="shared" si="52"/>
        <v>43.080000000000048</v>
      </c>
      <c r="C743" s="2">
        <f t="shared" si="51"/>
        <v>-0.87999999999999967</v>
      </c>
    </row>
    <row r="744" spans="1:3" x14ac:dyDescent="0.25">
      <c r="A744">
        <f t="shared" si="50"/>
        <v>148.40000000000012</v>
      </c>
      <c r="B744" s="2">
        <f t="shared" si="52"/>
        <v>42.200000000000045</v>
      </c>
      <c r="C744" s="2">
        <f t="shared" si="51"/>
        <v>-0.87999999999999967</v>
      </c>
    </row>
    <row r="745" spans="1:3" x14ac:dyDescent="0.25">
      <c r="A745">
        <f t="shared" si="50"/>
        <v>148.60000000000011</v>
      </c>
      <c r="B745" s="2">
        <f t="shared" si="52"/>
        <v>41.320000000000043</v>
      </c>
      <c r="C745" s="2">
        <f t="shared" si="51"/>
        <v>-0.87999999999999967</v>
      </c>
    </row>
    <row r="746" spans="1:3" x14ac:dyDescent="0.25">
      <c r="A746">
        <f t="shared" si="50"/>
        <v>148.8000000000001</v>
      </c>
      <c r="B746" s="2">
        <f t="shared" si="52"/>
        <v>40.44000000000004</v>
      </c>
      <c r="C746" s="2">
        <f t="shared" si="51"/>
        <v>-0.87999999999999967</v>
      </c>
    </row>
    <row r="747" spans="1:3" x14ac:dyDescent="0.25">
      <c r="A747">
        <f t="shared" si="50"/>
        <v>149.00000000000009</v>
      </c>
      <c r="B747" s="2">
        <f t="shared" si="52"/>
        <v>39.560000000000038</v>
      </c>
      <c r="C747" s="2">
        <f t="shared" si="51"/>
        <v>-0.87999999999999967</v>
      </c>
    </row>
    <row r="748" spans="1:3" x14ac:dyDescent="0.25">
      <c r="A748">
        <f t="shared" si="50"/>
        <v>149.20000000000007</v>
      </c>
      <c r="B748" s="2">
        <f t="shared" si="52"/>
        <v>38.680000000000035</v>
      </c>
      <c r="C748" s="2">
        <f t="shared" si="51"/>
        <v>-0.87999999999999967</v>
      </c>
    </row>
    <row r="749" spans="1:3" x14ac:dyDescent="0.25">
      <c r="A749">
        <f t="shared" si="50"/>
        <v>149.40000000000006</v>
      </c>
      <c r="B749" s="2">
        <f t="shared" si="52"/>
        <v>37.800000000000033</v>
      </c>
      <c r="C749" s="2">
        <f t="shared" si="51"/>
        <v>-0.87999999999999967</v>
      </c>
    </row>
    <row r="750" spans="1:3" x14ac:dyDescent="0.25">
      <c r="A750">
        <f t="shared" si="50"/>
        <v>149.60000000000005</v>
      </c>
      <c r="B750" s="2">
        <f t="shared" si="52"/>
        <v>36.92000000000003</v>
      </c>
      <c r="C750" s="2">
        <f t="shared" si="51"/>
        <v>-0.87999999999999967</v>
      </c>
    </row>
    <row r="751" spans="1:3" x14ac:dyDescent="0.25">
      <c r="A751">
        <f t="shared" ref="A751:A814" si="53">A750+0.2</f>
        <v>149.80000000000004</v>
      </c>
      <c r="B751" s="2">
        <f t="shared" si="52"/>
        <v>36.040000000000028</v>
      </c>
      <c r="C751" s="2">
        <f t="shared" si="51"/>
        <v>-0.87999999999999967</v>
      </c>
    </row>
    <row r="752" spans="1:3" x14ac:dyDescent="0.25">
      <c r="A752">
        <f t="shared" si="53"/>
        <v>150.00000000000003</v>
      </c>
      <c r="B752" s="2">
        <f t="shared" si="52"/>
        <v>35.160000000000025</v>
      </c>
      <c r="C752" s="2">
        <f t="shared" si="51"/>
        <v>0</v>
      </c>
    </row>
    <row r="753" spans="1:3" x14ac:dyDescent="0.25">
      <c r="A753">
        <f t="shared" si="53"/>
        <v>150.20000000000002</v>
      </c>
      <c r="B753" s="2">
        <f t="shared" si="52"/>
        <v>35.160000000000025</v>
      </c>
      <c r="C753" s="2">
        <f t="shared" si="51"/>
        <v>0</v>
      </c>
    </row>
    <row r="754" spans="1:3" x14ac:dyDescent="0.25">
      <c r="A754">
        <f t="shared" si="53"/>
        <v>150.4</v>
      </c>
      <c r="B754" s="2">
        <f t="shared" si="52"/>
        <v>35.160000000000025</v>
      </c>
      <c r="C754" s="2">
        <f t="shared" si="51"/>
        <v>0</v>
      </c>
    </row>
    <row r="755" spans="1:3" x14ac:dyDescent="0.25">
      <c r="A755">
        <f t="shared" si="53"/>
        <v>150.6</v>
      </c>
      <c r="B755" s="2">
        <f t="shared" si="52"/>
        <v>35.160000000000025</v>
      </c>
      <c r="C755" s="2">
        <f t="shared" si="51"/>
        <v>0</v>
      </c>
    </row>
    <row r="756" spans="1:3" x14ac:dyDescent="0.25">
      <c r="A756">
        <f t="shared" si="53"/>
        <v>150.79999999999998</v>
      </c>
      <c r="B756" s="2">
        <f t="shared" si="52"/>
        <v>35.160000000000025</v>
      </c>
      <c r="C756" s="2">
        <f t="shared" si="51"/>
        <v>0</v>
      </c>
    </row>
    <row r="757" spans="1:3" x14ac:dyDescent="0.25">
      <c r="A757">
        <f t="shared" si="53"/>
        <v>150.99999999999997</v>
      </c>
      <c r="B757" s="2">
        <f t="shared" si="52"/>
        <v>35.160000000000025</v>
      </c>
      <c r="C757" s="2">
        <f t="shared" si="51"/>
        <v>0</v>
      </c>
    </row>
    <row r="758" spans="1:3" x14ac:dyDescent="0.25">
      <c r="A758">
        <f t="shared" si="53"/>
        <v>151.19999999999996</v>
      </c>
      <c r="B758" s="2">
        <f t="shared" si="52"/>
        <v>35.160000000000025</v>
      </c>
      <c r="C758" s="2">
        <f t="shared" si="51"/>
        <v>0</v>
      </c>
    </row>
    <row r="759" spans="1:3" x14ac:dyDescent="0.25">
      <c r="A759">
        <f t="shared" si="53"/>
        <v>151.39999999999995</v>
      </c>
      <c r="B759" s="2">
        <f t="shared" si="52"/>
        <v>35.160000000000025</v>
      </c>
      <c r="C759" s="2">
        <f t="shared" si="51"/>
        <v>0</v>
      </c>
    </row>
    <row r="760" spans="1:3" x14ac:dyDescent="0.25">
      <c r="A760">
        <f t="shared" si="53"/>
        <v>151.59999999999994</v>
      </c>
      <c r="B760" s="2">
        <f t="shared" si="52"/>
        <v>35.160000000000025</v>
      </c>
      <c r="C760" s="2">
        <f t="shared" si="51"/>
        <v>0</v>
      </c>
    </row>
    <row r="761" spans="1:3" x14ac:dyDescent="0.25">
      <c r="A761">
        <f t="shared" si="53"/>
        <v>151.79999999999993</v>
      </c>
      <c r="B761" s="2">
        <f t="shared" si="52"/>
        <v>35.160000000000025</v>
      </c>
      <c r="C761" s="2">
        <f t="shared" si="51"/>
        <v>0</v>
      </c>
    </row>
    <row r="762" spans="1:3" x14ac:dyDescent="0.25">
      <c r="A762">
        <f t="shared" si="53"/>
        <v>151.99999999999991</v>
      </c>
      <c r="B762" s="2">
        <f t="shared" si="52"/>
        <v>35.160000000000025</v>
      </c>
      <c r="C762" s="2">
        <f t="shared" si="51"/>
        <v>0</v>
      </c>
    </row>
    <row r="763" spans="1:3" x14ac:dyDescent="0.25">
      <c r="A763">
        <f t="shared" si="53"/>
        <v>152.1999999999999</v>
      </c>
      <c r="B763" s="2">
        <f t="shared" si="52"/>
        <v>35.160000000000025</v>
      </c>
      <c r="C763" s="2">
        <f t="shared" si="51"/>
        <v>0</v>
      </c>
    </row>
    <row r="764" spans="1:3" x14ac:dyDescent="0.25">
      <c r="A764">
        <f t="shared" si="53"/>
        <v>152.39999999999989</v>
      </c>
      <c r="B764" s="2">
        <f t="shared" si="52"/>
        <v>35.160000000000025</v>
      </c>
      <c r="C764" s="2">
        <f t="shared" si="51"/>
        <v>0</v>
      </c>
    </row>
    <row r="765" spans="1:3" x14ac:dyDescent="0.25">
      <c r="A765">
        <f t="shared" si="53"/>
        <v>152.59999999999988</v>
      </c>
      <c r="B765" s="2">
        <f t="shared" si="52"/>
        <v>35.160000000000025</v>
      </c>
      <c r="C765" s="2">
        <f t="shared" si="51"/>
        <v>0</v>
      </c>
    </row>
    <row r="766" spans="1:3" x14ac:dyDescent="0.25">
      <c r="A766">
        <f t="shared" si="53"/>
        <v>152.79999999999987</v>
      </c>
      <c r="B766" s="2">
        <f t="shared" si="52"/>
        <v>35.160000000000025</v>
      </c>
      <c r="C766" s="2">
        <f t="shared" si="51"/>
        <v>0</v>
      </c>
    </row>
    <row r="767" spans="1:3" x14ac:dyDescent="0.25">
      <c r="A767">
        <f t="shared" si="53"/>
        <v>152.99999999999986</v>
      </c>
      <c r="B767" s="2">
        <f t="shared" si="52"/>
        <v>35.160000000000025</v>
      </c>
      <c r="C767" s="2">
        <f t="shared" si="51"/>
        <v>0</v>
      </c>
    </row>
    <row r="768" spans="1:3" x14ac:dyDescent="0.25">
      <c r="A768">
        <f t="shared" si="53"/>
        <v>153.19999999999985</v>
      </c>
      <c r="B768" s="2">
        <f t="shared" si="52"/>
        <v>35.160000000000025</v>
      </c>
      <c r="C768" s="2">
        <f t="shared" si="51"/>
        <v>0</v>
      </c>
    </row>
    <row r="769" spans="1:3" x14ac:dyDescent="0.25">
      <c r="A769">
        <f t="shared" si="53"/>
        <v>153.39999999999984</v>
      </c>
      <c r="B769" s="2">
        <f t="shared" si="52"/>
        <v>35.160000000000025</v>
      </c>
      <c r="C769" s="2">
        <f t="shared" si="51"/>
        <v>0</v>
      </c>
    </row>
    <row r="770" spans="1:3" x14ac:dyDescent="0.25">
      <c r="A770">
        <f t="shared" si="53"/>
        <v>153.59999999999982</v>
      </c>
      <c r="B770" s="2">
        <f t="shared" si="52"/>
        <v>35.160000000000025</v>
      </c>
      <c r="C770" s="2">
        <f t="shared" si="51"/>
        <v>0</v>
      </c>
    </row>
    <row r="771" spans="1:3" x14ac:dyDescent="0.25">
      <c r="A771">
        <f t="shared" si="53"/>
        <v>153.79999999999981</v>
      </c>
      <c r="B771" s="2">
        <f t="shared" si="52"/>
        <v>35.160000000000025</v>
      </c>
      <c r="C771" s="2">
        <f t="shared" ref="C771:C834" si="54">INDEX($K$3:$K$40,MATCH(A771,$H$2:$H$40,1))</f>
        <v>0</v>
      </c>
    </row>
    <row r="772" spans="1:3" x14ac:dyDescent="0.25">
      <c r="A772">
        <f t="shared" si="53"/>
        <v>153.9999999999998</v>
      </c>
      <c r="B772" s="2">
        <f t="shared" ref="B772:B835" si="55">B771+C771</f>
        <v>35.160000000000025</v>
      </c>
      <c r="C772" s="2">
        <f t="shared" si="54"/>
        <v>0</v>
      </c>
    </row>
    <row r="773" spans="1:3" x14ac:dyDescent="0.25">
      <c r="A773">
        <f t="shared" si="53"/>
        <v>154.19999999999979</v>
      </c>
      <c r="B773" s="2">
        <f t="shared" si="55"/>
        <v>35.160000000000025</v>
      </c>
      <c r="C773" s="2">
        <f t="shared" si="54"/>
        <v>0</v>
      </c>
    </row>
    <row r="774" spans="1:3" x14ac:dyDescent="0.25">
      <c r="A774">
        <f t="shared" si="53"/>
        <v>154.39999999999978</v>
      </c>
      <c r="B774" s="2">
        <f t="shared" si="55"/>
        <v>35.160000000000025</v>
      </c>
      <c r="C774" s="2">
        <f t="shared" si="54"/>
        <v>0</v>
      </c>
    </row>
    <row r="775" spans="1:3" x14ac:dyDescent="0.25">
      <c r="A775">
        <f t="shared" si="53"/>
        <v>154.59999999999977</v>
      </c>
      <c r="B775" s="2">
        <f t="shared" si="55"/>
        <v>35.160000000000025</v>
      </c>
      <c r="C775" s="2">
        <f t="shared" si="54"/>
        <v>0</v>
      </c>
    </row>
    <row r="776" spans="1:3" x14ac:dyDescent="0.25">
      <c r="A776">
        <f t="shared" si="53"/>
        <v>154.79999999999976</v>
      </c>
      <c r="B776" s="2">
        <f t="shared" si="55"/>
        <v>35.160000000000025</v>
      </c>
      <c r="C776" s="2">
        <f t="shared" si="54"/>
        <v>0</v>
      </c>
    </row>
    <row r="777" spans="1:3" x14ac:dyDescent="0.25">
      <c r="A777">
        <f t="shared" si="53"/>
        <v>154.99999999999974</v>
      </c>
      <c r="B777" s="2">
        <f t="shared" si="55"/>
        <v>35.160000000000025</v>
      </c>
      <c r="C777" s="2">
        <f t="shared" si="54"/>
        <v>0</v>
      </c>
    </row>
    <row r="778" spans="1:3" x14ac:dyDescent="0.25">
      <c r="A778">
        <f t="shared" si="53"/>
        <v>155.19999999999973</v>
      </c>
      <c r="B778" s="2">
        <f t="shared" si="55"/>
        <v>35.160000000000025</v>
      </c>
      <c r="C778" s="2">
        <f t="shared" si="54"/>
        <v>0</v>
      </c>
    </row>
    <row r="779" spans="1:3" x14ac:dyDescent="0.25">
      <c r="A779">
        <f t="shared" si="53"/>
        <v>155.39999999999972</v>
      </c>
      <c r="B779" s="2">
        <f t="shared" si="55"/>
        <v>35.160000000000025</v>
      </c>
      <c r="C779" s="2">
        <f t="shared" si="54"/>
        <v>0</v>
      </c>
    </row>
    <row r="780" spans="1:3" x14ac:dyDescent="0.25">
      <c r="A780">
        <f t="shared" si="53"/>
        <v>155.59999999999971</v>
      </c>
      <c r="B780" s="2">
        <f t="shared" si="55"/>
        <v>35.160000000000025</v>
      </c>
      <c r="C780" s="2">
        <f t="shared" si="54"/>
        <v>0</v>
      </c>
    </row>
    <row r="781" spans="1:3" x14ac:dyDescent="0.25">
      <c r="A781">
        <f t="shared" si="53"/>
        <v>155.7999999999997</v>
      </c>
      <c r="B781" s="2">
        <f t="shared" si="55"/>
        <v>35.160000000000025</v>
      </c>
      <c r="C781" s="2">
        <f t="shared" si="54"/>
        <v>0</v>
      </c>
    </row>
    <row r="782" spans="1:3" x14ac:dyDescent="0.25">
      <c r="A782">
        <f t="shared" si="53"/>
        <v>155.99999999999969</v>
      </c>
      <c r="B782" s="2">
        <f t="shared" si="55"/>
        <v>35.160000000000025</v>
      </c>
      <c r="C782" s="2">
        <f t="shared" si="54"/>
        <v>0</v>
      </c>
    </row>
    <row r="783" spans="1:3" x14ac:dyDescent="0.25">
      <c r="A783">
        <f t="shared" si="53"/>
        <v>156.19999999999968</v>
      </c>
      <c r="B783" s="2">
        <f t="shared" si="55"/>
        <v>35.160000000000025</v>
      </c>
      <c r="C783" s="2">
        <f t="shared" si="54"/>
        <v>0</v>
      </c>
    </row>
    <row r="784" spans="1:3" x14ac:dyDescent="0.25">
      <c r="A784">
        <f t="shared" si="53"/>
        <v>156.39999999999966</v>
      </c>
      <c r="B784" s="2">
        <f t="shared" si="55"/>
        <v>35.160000000000025</v>
      </c>
      <c r="C784" s="2">
        <f t="shared" si="54"/>
        <v>0</v>
      </c>
    </row>
    <row r="785" spans="1:3" x14ac:dyDescent="0.25">
      <c r="A785">
        <f t="shared" si="53"/>
        <v>156.59999999999965</v>
      </c>
      <c r="B785" s="2">
        <f t="shared" si="55"/>
        <v>35.160000000000025</v>
      </c>
      <c r="C785" s="2">
        <f t="shared" si="54"/>
        <v>0</v>
      </c>
    </row>
    <row r="786" spans="1:3" x14ac:dyDescent="0.25">
      <c r="A786">
        <f t="shared" si="53"/>
        <v>156.79999999999964</v>
      </c>
      <c r="B786" s="2">
        <f t="shared" si="55"/>
        <v>35.160000000000025</v>
      </c>
      <c r="C786" s="2">
        <f t="shared" si="54"/>
        <v>0</v>
      </c>
    </row>
    <row r="787" spans="1:3" x14ac:dyDescent="0.25">
      <c r="A787">
        <f t="shared" si="53"/>
        <v>156.99999999999963</v>
      </c>
      <c r="B787" s="2">
        <f t="shared" si="55"/>
        <v>35.160000000000025</v>
      </c>
      <c r="C787" s="2">
        <f t="shared" si="54"/>
        <v>0</v>
      </c>
    </row>
    <row r="788" spans="1:3" x14ac:dyDescent="0.25">
      <c r="A788">
        <f t="shared" si="53"/>
        <v>157.19999999999962</v>
      </c>
      <c r="B788" s="2">
        <f t="shared" si="55"/>
        <v>35.160000000000025</v>
      </c>
      <c r="C788" s="2">
        <f t="shared" si="54"/>
        <v>0</v>
      </c>
    </row>
    <row r="789" spans="1:3" x14ac:dyDescent="0.25">
      <c r="A789">
        <f t="shared" si="53"/>
        <v>157.39999999999961</v>
      </c>
      <c r="B789" s="2">
        <f t="shared" si="55"/>
        <v>35.160000000000025</v>
      </c>
      <c r="C789" s="2">
        <f t="shared" si="54"/>
        <v>0</v>
      </c>
    </row>
    <row r="790" spans="1:3" x14ac:dyDescent="0.25">
      <c r="A790">
        <f t="shared" si="53"/>
        <v>157.5999999999996</v>
      </c>
      <c r="B790" s="2">
        <f t="shared" si="55"/>
        <v>35.160000000000025</v>
      </c>
      <c r="C790" s="2">
        <f t="shared" si="54"/>
        <v>0</v>
      </c>
    </row>
    <row r="791" spans="1:3" x14ac:dyDescent="0.25">
      <c r="A791">
        <f t="shared" si="53"/>
        <v>157.79999999999959</v>
      </c>
      <c r="B791" s="2">
        <f t="shared" si="55"/>
        <v>35.160000000000025</v>
      </c>
      <c r="C791" s="2">
        <f t="shared" si="54"/>
        <v>0</v>
      </c>
    </row>
    <row r="792" spans="1:3" x14ac:dyDescent="0.25">
      <c r="A792">
        <f t="shared" si="53"/>
        <v>157.99999999999957</v>
      </c>
      <c r="B792" s="2">
        <f t="shared" si="55"/>
        <v>35.160000000000025</v>
      </c>
      <c r="C792" s="2">
        <f t="shared" si="54"/>
        <v>0</v>
      </c>
    </row>
    <row r="793" spans="1:3" x14ac:dyDescent="0.25">
      <c r="A793">
        <f t="shared" si="53"/>
        <v>158.19999999999956</v>
      </c>
      <c r="B793" s="2">
        <f t="shared" si="55"/>
        <v>35.160000000000025</v>
      </c>
      <c r="C793" s="2">
        <f t="shared" si="54"/>
        <v>0</v>
      </c>
    </row>
    <row r="794" spans="1:3" x14ac:dyDescent="0.25">
      <c r="A794">
        <f t="shared" si="53"/>
        <v>158.39999999999955</v>
      </c>
      <c r="B794" s="2">
        <f t="shared" si="55"/>
        <v>35.160000000000025</v>
      </c>
      <c r="C794" s="2">
        <f t="shared" si="54"/>
        <v>0</v>
      </c>
    </row>
    <row r="795" spans="1:3" x14ac:dyDescent="0.25">
      <c r="A795">
        <f t="shared" si="53"/>
        <v>158.59999999999954</v>
      </c>
      <c r="B795" s="2">
        <f t="shared" si="55"/>
        <v>35.160000000000025</v>
      </c>
      <c r="C795" s="2">
        <f t="shared" si="54"/>
        <v>0</v>
      </c>
    </row>
    <row r="796" spans="1:3" x14ac:dyDescent="0.25">
      <c r="A796">
        <f t="shared" si="53"/>
        <v>158.79999999999953</v>
      </c>
      <c r="B796" s="2">
        <f t="shared" si="55"/>
        <v>35.160000000000025</v>
      </c>
      <c r="C796" s="2">
        <f t="shared" si="54"/>
        <v>0</v>
      </c>
    </row>
    <row r="797" spans="1:3" x14ac:dyDescent="0.25">
      <c r="A797">
        <f t="shared" si="53"/>
        <v>158.99999999999952</v>
      </c>
      <c r="B797" s="2">
        <f t="shared" si="55"/>
        <v>35.160000000000025</v>
      </c>
      <c r="C797" s="2">
        <f t="shared" si="54"/>
        <v>0</v>
      </c>
    </row>
    <row r="798" spans="1:3" x14ac:dyDescent="0.25">
      <c r="A798">
        <f t="shared" si="53"/>
        <v>159.19999999999951</v>
      </c>
      <c r="B798" s="2">
        <f t="shared" si="55"/>
        <v>35.160000000000025</v>
      </c>
      <c r="C798" s="2">
        <f t="shared" si="54"/>
        <v>0</v>
      </c>
    </row>
    <row r="799" spans="1:3" x14ac:dyDescent="0.25">
      <c r="A799">
        <f t="shared" si="53"/>
        <v>159.39999999999949</v>
      </c>
      <c r="B799" s="2">
        <f t="shared" si="55"/>
        <v>35.160000000000025</v>
      </c>
      <c r="C799" s="2">
        <f t="shared" si="54"/>
        <v>0</v>
      </c>
    </row>
    <row r="800" spans="1:3" x14ac:dyDescent="0.25">
      <c r="A800">
        <f t="shared" si="53"/>
        <v>159.59999999999948</v>
      </c>
      <c r="B800" s="2">
        <f t="shared" si="55"/>
        <v>35.160000000000025</v>
      </c>
      <c r="C800" s="2">
        <f t="shared" si="54"/>
        <v>0</v>
      </c>
    </row>
    <row r="801" spans="1:3" x14ac:dyDescent="0.25">
      <c r="A801">
        <f t="shared" si="53"/>
        <v>159.79999999999947</v>
      </c>
      <c r="B801" s="2">
        <f t="shared" si="55"/>
        <v>35.160000000000025</v>
      </c>
      <c r="C801" s="2">
        <f t="shared" si="54"/>
        <v>0</v>
      </c>
    </row>
    <row r="802" spans="1:3" x14ac:dyDescent="0.25">
      <c r="A802">
        <f t="shared" si="53"/>
        <v>159.99999999999946</v>
      </c>
      <c r="B802" s="2">
        <f t="shared" si="55"/>
        <v>35.160000000000025</v>
      </c>
      <c r="C802" s="2">
        <f t="shared" si="54"/>
        <v>0</v>
      </c>
    </row>
    <row r="803" spans="1:3" x14ac:dyDescent="0.25">
      <c r="A803">
        <f t="shared" si="53"/>
        <v>160.19999999999945</v>
      </c>
      <c r="B803" s="2">
        <f t="shared" si="55"/>
        <v>35.160000000000025</v>
      </c>
      <c r="C803" s="2">
        <f t="shared" si="54"/>
        <v>2.88</v>
      </c>
    </row>
    <row r="804" spans="1:3" x14ac:dyDescent="0.25">
      <c r="A804">
        <f t="shared" si="53"/>
        <v>160.39999999999944</v>
      </c>
      <c r="B804" s="2">
        <f t="shared" si="55"/>
        <v>38.040000000000028</v>
      </c>
      <c r="C804" s="2">
        <f t="shared" si="54"/>
        <v>2.88</v>
      </c>
    </row>
    <row r="805" spans="1:3" x14ac:dyDescent="0.25">
      <c r="A805">
        <f t="shared" si="53"/>
        <v>160.59999999999943</v>
      </c>
      <c r="B805" s="2">
        <f t="shared" si="55"/>
        <v>40.92000000000003</v>
      </c>
      <c r="C805" s="2">
        <f t="shared" si="54"/>
        <v>2.88</v>
      </c>
    </row>
    <row r="806" spans="1:3" x14ac:dyDescent="0.25">
      <c r="A806">
        <f t="shared" si="53"/>
        <v>160.79999999999941</v>
      </c>
      <c r="B806" s="2">
        <f t="shared" si="55"/>
        <v>43.800000000000033</v>
      </c>
      <c r="C806" s="2">
        <f t="shared" si="54"/>
        <v>2.88</v>
      </c>
    </row>
    <row r="807" spans="1:3" x14ac:dyDescent="0.25">
      <c r="A807">
        <f t="shared" si="53"/>
        <v>160.9999999999994</v>
      </c>
      <c r="B807" s="2">
        <f t="shared" si="55"/>
        <v>46.680000000000035</v>
      </c>
      <c r="C807" s="2">
        <f t="shared" si="54"/>
        <v>2.88</v>
      </c>
    </row>
    <row r="808" spans="1:3" x14ac:dyDescent="0.25">
      <c r="A808">
        <f t="shared" si="53"/>
        <v>161.19999999999939</v>
      </c>
      <c r="B808" s="2">
        <f t="shared" si="55"/>
        <v>49.560000000000038</v>
      </c>
      <c r="C808" s="2">
        <f t="shared" si="54"/>
        <v>2.88</v>
      </c>
    </row>
    <row r="809" spans="1:3" x14ac:dyDescent="0.25">
      <c r="A809">
        <f t="shared" si="53"/>
        <v>161.39999999999938</v>
      </c>
      <c r="B809" s="2">
        <f t="shared" si="55"/>
        <v>52.44000000000004</v>
      </c>
      <c r="C809" s="2">
        <f t="shared" si="54"/>
        <v>2.88</v>
      </c>
    </row>
    <row r="810" spans="1:3" x14ac:dyDescent="0.25">
      <c r="A810">
        <f t="shared" si="53"/>
        <v>161.59999999999937</v>
      </c>
      <c r="B810" s="2">
        <f t="shared" si="55"/>
        <v>55.320000000000043</v>
      </c>
      <c r="C810" s="2">
        <f t="shared" si="54"/>
        <v>2.88</v>
      </c>
    </row>
    <row r="811" spans="1:3" x14ac:dyDescent="0.25">
      <c r="A811">
        <f t="shared" si="53"/>
        <v>161.79999999999936</v>
      </c>
      <c r="B811" s="2">
        <f t="shared" si="55"/>
        <v>58.200000000000045</v>
      </c>
      <c r="C811" s="2">
        <f t="shared" si="54"/>
        <v>2.88</v>
      </c>
    </row>
    <row r="812" spans="1:3" x14ac:dyDescent="0.25">
      <c r="A812">
        <f t="shared" si="53"/>
        <v>161.99999999999935</v>
      </c>
      <c r="B812" s="2">
        <f t="shared" si="55"/>
        <v>61.080000000000048</v>
      </c>
      <c r="C812" s="2">
        <f t="shared" si="54"/>
        <v>2.88</v>
      </c>
    </row>
    <row r="813" spans="1:3" x14ac:dyDescent="0.25">
      <c r="A813">
        <f t="shared" si="53"/>
        <v>162.19999999999933</v>
      </c>
      <c r="B813" s="2">
        <f t="shared" si="55"/>
        <v>63.960000000000051</v>
      </c>
      <c r="C813" s="2">
        <f t="shared" si="54"/>
        <v>2.88</v>
      </c>
    </row>
    <row r="814" spans="1:3" x14ac:dyDescent="0.25">
      <c r="A814">
        <f t="shared" si="53"/>
        <v>162.39999999999932</v>
      </c>
      <c r="B814" s="2">
        <f t="shared" si="55"/>
        <v>66.840000000000046</v>
      </c>
      <c r="C814" s="2">
        <f t="shared" si="54"/>
        <v>2.88</v>
      </c>
    </row>
    <row r="815" spans="1:3" x14ac:dyDescent="0.25">
      <c r="A815">
        <f t="shared" ref="A815:A878" si="56">A814+0.2</f>
        <v>162.59999999999931</v>
      </c>
      <c r="B815" s="2">
        <f t="shared" si="55"/>
        <v>69.720000000000041</v>
      </c>
      <c r="C815" s="2">
        <f t="shared" si="54"/>
        <v>2.88</v>
      </c>
    </row>
    <row r="816" spans="1:3" x14ac:dyDescent="0.25">
      <c r="A816">
        <f t="shared" si="56"/>
        <v>162.7999999999993</v>
      </c>
      <c r="B816" s="2">
        <f t="shared" si="55"/>
        <v>72.600000000000037</v>
      </c>
      <c r="C816" s="2">
        <f t="shared" si="54"/>
        <v>2.88</v>
      </c>
    </row>
    <row r="817" spans="1:3" x14ac:dyDescent="0.25">
      <c r="A817">
        <f t="shared" si="56"/>
        <v>162.99999999999929</v>
      </c>
      <c r="B817" s="2">
        <f t="shared" si="55"/>
        <v>75.480000000000032</v>
      </c>
      <c r="C817" s="2">
        <f t="shared" si="54"/>
        <v>2.88</v>
      </c>
    </row>
    <row r="818" spans="1:3" x14ac:dyDescent="0.25">
      <c r="A818">
        <f t="shared" si="56"/>
        <v>163.19999999999928</v>
      </c>
      <c r="B818" s="2">
        <f t="shared" si="55"/>
        <v>78.360000000000028</v>
      </c>
      <c r="C818" s="2">
        <f t="shared" si="54"/>
        <v>2.88</v>
      </c>
    </row>
    <row r="819" spans="1:3" x14ac:dyDescent="0.25">
      <c r="A819">
        <f t="shared" si="56"/>
        <v>163.39999999999927</v>
      </c>
      <c r="B819" s="2">
        <f t="shared" si="55"/>
        <v>81.240000000000023</v>
      </c>
      <c r="C819" s="2">
        <f t="shared" si="54"/>
        <v>2.88</v>
      </c>
    </row>
    <row r="820" spans="1:3" x14ac:dyDescent="0.25">
      <c r="A820">
        <f t="shared" si="56"/>
        <v>163.59999999999926</v>
      </c>
      <c r="B820" s="2">
        <f t="shared" si="55"/>
        <v>84.120000000000019</v>
      </c>
      <c r="C820" s="2">
        <f t="shared" si="54"/>
        <v>2.88</v>
      </c>
    </row>
    <row r="821" spans="1:3" x14ac:dyDescent="0.25">
      <c r="A821">
        <f t="shared" si="56"/>
        <v>163.79999999999924</v>
      </c>
      <c r="B821" s="2">
        <f t="shared" si="55"/>
        <v>87.000000000000014</v>
      </c>
      <c r="C821" s="2">
        <f t="shared" si="54"/>
        <v>2.88</v>
      </c>
    </row>
    <row r="822" spans="1:3" x14ac:dyDescent="0.25">
      <c r="A822">
        <f t="shared" si="56"/>
        <v>163.99999999999923</v>
      </c>
      <c r="B822" s="2">
        <f t="shared" si="55"/>
        <v>89.88000000000001</v>
      </c>
      <c r="C822" s="2">
        <f t="shared" si="54"/>
        <v>2.88</v>
      </c>
    </row>
    <row r="823" spans="1:3" x14ac:dyDescent="0.25">
      <c r="A823">
        <f t="shared" si="56"/>
        <v>164.19999999999922</v>
      </c>
      <c r="B823" s="2">
        <f t="shared" si="55"/>
        <v>92.76</v>
      </c>
      <c r="C823" s="2">
        <f t="shared" si="54"/>
        <v>2.88</v>
      </c>
    </row>
    <row r="824" spans="1:3" x14ac:dyDescent="0.25">
      <c r="A824">
        <f t="shared" si="56"/>
        <v>164.39999999999921</v>
      </c>
      <c r="B824" s="2">
        <f t="shared" si="55"/>
        <v>95.64</v>
      </c>
      <c r="C824" s="2">
        <f t="shared" si="54"/>
        <v>2.88</v>
      </c>
    </row>
    <row r="825" spans="1:3" x14ac:dyDescent="0.25">
      <c r="A825">
        <f t="shared" si="56"/>
        <v>164.5999999999992</v>
      </c>
      <c r="B825" s="2">
        <f t="shared" si="55"/>
        <v>98.52</v>
      </c>
      <c r="C825" s="2">
        <f t="shared" si="54"/>
        <v>2.88</v>
      </c>
    </row>
    <row r="826" spans="1:3" x14ac:dyDescent="0.25">
      <c r="A826">
        <f t="shared" si="56"/>
        <v>164.79999999999919</v>
      </c>
      <c r="B826" s="2">
        <f t="shared" si="55"/>
        <v>101.39999999999999</v>
      </c>
      <c r="C826" s="2">
        <f t="shared" si="54"/>
        <v>2.88</v>
      </c>
    </row>
    <row r="827" spans="1:3" x14ac:dyDescent="0.25">
      <c r="A827">
        <f t="shared" si="56"/>
        <v>164.99999999999918</v>
      </c>
      <c r="B827" s="2">
        <f t="shared" si="55"/>
        <v>104.27999999999999</v>
      </c>
      <c r="C827" s="2">
        <f t="shared" si="54"/>
        <v>2.88</v>
      </c>
    </row>
    <row r="828" spans="1:3" x14ac:dyDescent="0.25">
      <c r="A828">
        <f t="shared" si="56"/>
        <v>165.19999999999916</v>
      </c>
      <c r="B828" s="2">
        <f t="shared" si="55"/>
        <v>107.15999999999998</v>
      </c>
      <c r="C828" s="2">
        <f t="shared" si="54"/>
        <v>0</v>
      </c>
    </row>
    <row r="829" spans="1:3" x14ac:dyDescent="0.25">
      <c r="A829">
        <f t="shared" si="56"/>
        <v>165.39999999999915</v>
      </c>
      <c r="B829" s="2">
        <f t="shared" si="55"/>
        <v>107.15999999999998</v>
      </c>
      <c r="C829" s="2">
        <f t="shared" si="54"/>
        <v>0</v>
      </c>
    </row>
    <row r="830" spans="1:3" x14ac:dyDescent="0.25">
      <c r="A830">
        <f t="shared" si="56"/>
        <v>165.59999999999914</v>
      </c>
      <c r="B830" s="2">
        <f t="shared" si="55"/>
        <v>107.15999999999998</v>
      </c>
      <c r="C830" s="2">
        <f t="shared" si="54"/>
        <v>0</v>
      </c>
    </row>
    <row r="831" spans="1:3" x14ac:dyDescent="0.25">
      <c r="A831">
        <f t="shared" si="56"/>
        <v>165.79999999999913</v>
      </c>
      <c r="B831" s="2">
        <f t="shared" si="55"/>
        <v>107.15999999999998</v>
      </c>
      <c r="C831" s="2">
        <f t="shared" si="54"/>
        <v>0</v>
      </c>
    </row>
    <row r="832" spans="1:3" x14ac:dyDescent="0.25">
      <c r="A832">
        <f t="shared" si="56"/>
        <v>165.99999999999912</v>
      </c>
      <c r="B832" s="2">
        <f t="shared" si="55"/>
        <v>107.15999999999998</v>
      </c>
      <c r="C832" s="2">
        <f t="shared" si="54"/>
        <v>0</v>
      </c>
    </row>
    <row r="833" spans="1:3" x14ac:dyDescent="0.25">
      <c r="A833">
        <f t="shared" si="56"/>
        <v>166.19999999999911</v>
      </c>
      <c r="B833" s="2">
        <f t="shared" si="55"/>
        <v>107.15999999999998</v>
      </c>
      <c r="C833" s="2">
        <f t="shared" si="54"/>
        <v>0</v>
      </c>
    </row>
    <row r="834" spans="1:3" x14ac:dyDescent="0.25">
      <c r="A834">
        <f t="shared" si="56"/>
        <v>166.3999999999991</v>
      </c>
      <c r="B834" s="2">
        <f t="shared" si="55"/>
        <v>107.15999999999998</v>
      </c>
      <c r="C834" s="2">
        <f t="shared" si="54"/>
        <v>0</v>
      </c>
    </row>
    <row r="835" spans="1:3" x14ac:dyDescent="0.25">
      <c r="A835">
        <f t="shared" si="56"/>
        <v>166.59999999999908</v>
      </c>
      <c r="B835" s="2">
        <f t="shared" si="55"/>
        <v>107.15999999999998</v>
      </c>
      <c r="C835" s="2">
        <f t="shared" ref="C835:C898" si="57">INDEX($K$3:$K$40,MATCH(A835,$H$2:$H$40,1))</f>
        <v>0</v>
      </c>
    </row>
    <row r="836" spans="1:3" x14ac:dyDescent="0.25">
      <c r="A836">
        <f t="shared" si="56"/>
        <v>166.79999999999907</v>
      </c>
      <c r="B836" s="2">
        <f t="shared" ref="B836:B899" si="58">B835+C835</f>
        <v>107.15999999999998</v>
      </c>
      <c r="C836" s="2">
        <f t="shared" si="57"/>
        <v>0</v>
      </c>
    </row>
    <row r="837" spans="1:3" x14ac:dyDescent="0.25">
      <c r="A837">
        <f t="shared" si="56"/>
        <v>166.99999999999906</v>
      </c>
      <c r="B837" s="2">
        <f t="shared" si="58"/>
        <v>107.15999999999998</v>
      </c>
      <c r="C837" s="2">
        <f t="shared" si="57"/>
        <v>0</v>
      </c>
    </row>
    <row r="838" spans="1:3" x14ac:dyDescent="0.25">
      <c r="A838">
        <f t="shared" si="56"/>
        <v>167.19999999999905</v>
      </c>
      <c r="B838" s="2">
        <f t="shared" si="58"/>
        <v>107.15999999999998</v>
      </c>
      <c r="C838" s="2">
        <f t="shared" si="57"/>
        <v>0</v>
      </c>
    </row>
    <row r="839" spans="1:3" x14ac:dyDescent="0.25">
      <c r="A839">
        <f t="shared" si="56"/>
        <v>167.39999999999904</v>
      </c>
      <c r="B839" s="2">
        <f t="shared" si="58"/>
        <v>107.15999999999998</v>
      </c>
      <c r="C839" s="2">
        <f t="shared" si="57"/>
        <v>0</v>
      </c>
    </row>
    <row r="840" spans="1:3" x14ac:dyDescent="0.25">
      <c r="A840">
        <f t="shared" si="56"/>
        <v>167.59999999999903</v>
      </c>
      <c r="B840" s="2">
        <f t="shared" si="58"/>
        <v>107.15999999999998</v>
      </c>
      <c r="C840" s="2">
        <f t="shared" si="57"/>
        <v>0</v>
      </c>
    </row>
    <row r="841" spans="1:3" x14ac:dyDescent="0.25">
      <c r="A841">
        <f t="shared" si="56"/>
        <v>167.79999999999902</v>
      </c>
      <c r="B841" s="2">
        <f t="shared" si="58"/>
        <v>107.15999999999998</v>
      </c>
      <c r="C841" s="2">
        <f t="shared" si="57"/>
        <v>0</v>
      </c>
    </row>
    <row r="842" spans="1:3" x14ac:dyDescent="0.25">
      <c r="A842">
        <f t="shared" si="56"/>
        <v>167.99999999999901</v>
      </c>
      <c r="B842" s="2">
        <f t="shared" si="58"/>
        <v>107.15999999999998</v>
      </c>
      <c r="C842" s="2">
        <f t="shared" si="57"/>
        <v>0</v>
      </c>
    </row>
    <row r="843" spans="1:3" x14ac:dyDescent="0.25">
      <c r="A843">
        <f t="shared" si="56"/>
        <v>168.19999999999899</v>
      </c>
      <c r="B843" s="2">
        <f t="shared" si="58"/>
        <v>107.15999999999998</v>
      </c>
      <c r="C843" s="2">
        <f t="shared" si="57"/>
        <v>0</v>
      </c>
    </row>
    <row r="844" spans="1:3" x14ac:dyDescent="0.25">
      <c r="A844">
        <f t="shared" si="56"/>
        <v>168.39999999999898</v>
      </c>
      <c r="B844" s="2">
        <f t="shared" si="58"/>
        <v>107.15999999999998</v>
      </c>
      <c r="C844" s="2">
        <f t="shared" si="57"/>
        <v>0</v>
      </c>
    </row>
    <row r="845" spans="1:3" x14ac:dyDescent="0.25">
      <c r="A845">
        <f t="shared" si="56"/>
        <v>168.59999999999897</v>
      </c>
      <c r="B845" s="2">
        <f t="shared" si="58"/>
        <v>107.15999999999998</v>
      </c>
      <c r="C845" s="2">
        <f t="shared" si="57"/>
        <v>0</v>
      </c>
    </row>
    <row r="846" spans="1:3" x14ac:dyDescent="0.25">
      <c r="A846">
        <f t="shared" si="56"/>
        <v>168.79999999999896</v>
      </c>
      <c r="B846" s="2">
        <f t="shared" si="58"/>
        <v>107.15999999999998</v>
      </c>
      <c r="C846" s="2">
        <f t="shared" si="57"/>
        <v>0</v>
      </c>
    </row>
    <row r="847" spans="1:3" x14ac:dyDescent="0.25">
      <c r="A847">
        <f t="shared" si="56"/>
        <v>168.99999999999895</v>
      </c>
      <c r="B847" s="2">
        <f t="shared" si="58"/>
        <v>107.15999999999998</v>
      </c>
      <c r="C847" s="2">
        <f t="shared" si="57"/>
        <v>0</v>
      </c>
    </row>
    <row r="848" spans="1:3" x14ac:dyDescent="0.25">
      <c r="A848">
        <f t="shared" si="56"/>
        <v>169.19999999999894</v>
      </c>
      <c r="B848" s="2">
        <f t="shared" si="58"/>
        <v>107.15999999999998</v>
      </c>
      <c r="C848" s="2">
        <f t="shared" si="57"/>
        <v>0</v>
      </c>
    </row>
    <row r="849" spans="1:3" x14ac:dyDescent="0.25">
      <c r="A849">
        <f t="shared" si="56"/>
        <v>169.39999999999893</v>
      </c>
      <c r="B849" s="2">
        <f t="shared" si="58"/>
        <v>107.15999999999998</v>
      </c>
      <c r="C849" s="2">
        <f t="shared" si="57"/>
        <v>0</v>
      </c>
    </row>
    <row r="850" spans="1:3" x14ac:dyDescent="0.25">
      <c r="A850">
        <f t="shared" si="56"/>
        <v>169.59999999999891</v>
      </c>
      <c r="B850" s="2">
        <f t="shared" si="58"/>
        <v>107.15999999999998</v>
      </c>
      <c r="C850" s="2">
        <f t="shared" si="57"/>
        <v>0</v>
      </c>
    </row>
    <row r="851" spans="1:3" x14ac:dyDescent="0.25">
      <c r="A851">
        <f t="shared" si="56"/>
        <v>169.7999999999989</v>
      </c>
      <c r="B851" s="2">
        <f t="shared" si="58"/>
        <v>107.15999999999998</v>
      </c>
      <c r="C851" s="2">
        <f t="shared" si="57"/>
        <v>0</v>
      </c>
    </row>
    <row r="852" spans="1:3" x14ac:dyDescent="0.25">
      <c r="A852">
        <f t="shared" si="56"/>
        <v>169.99999999999889</v>
      </c>
      <c r="B852" s="2">
        <f t="shared" si="58"/>
        <v>107.15999999999998</v>
      </c>
      <c r="C852" s="2">
        <f t="shared" si="57"/>
        <v>0</v>
      </c>
    </row>
    <row r="853" spans="1:3" x14ac:dyDescent="0.25">
      <c r="A853">
        <f t="shared" si="56"/>
        <v>170.19999999999888</v>
      </c>
      <c r="B853" s="2">
        <f t="shared" si="58"/>
        <v>107.15999999999998</v>
      </c>
      <c r="C853" s="2">
        <f t="shared" si="57"/>
        <v>-2.88</v>
      </c>
    </row>
    <row r="854" spans="1:3" x14ac:dyDescent="0.25">
      <c r="A854">
        <f t="shared" si="56"/>
        <v>170.39999999999887</v>
      </c>
      <c r="B854" s="2">
        <f t="shared" si="58"/>
        <v>104.27999999999999</v>
      </c>
      <c r="C854" s="2">
        <f t="shared" si="57"/>
        <v>-2.88</v>
      </c>
    </row>
    <row r="855" spans="1:3" x14ac:dyDescent="0.25">
      <c r="A855">
        <f t="shared" si="56"/>
        <v>170.59999999999886</v>
      </c>
      <c r="B855" s="2">
        <f t="shared" si="58"/>
        <v>101.39999999999999</v>
      </c>
      <c r="C855" s="2">
        <f t="shared" si="57"/>
        <v>-2.88</v>
      </c>
    </row>
    <row r="856" spans="1:3" x14ac:dyDescent="0.25">
      <c r="A856">
        <f t="shared" si="56"/>
        <v>170.79999999999885</v>
      </c>
      <c r="B856" s="2">
        <f t="shared" si="58"/>
        <v>98.52</v>
      </c>
      <c r="C856" s="2">
        <f t="shared" si="57"/>
        <v>-2.88</v>
      </c>
    </row>
    <row r="857" spans="1:3" x14ac:dyDescent="0.25">
      <c r="A857">
        <f t="shared" si="56"/>
        <v>170.99999999999883</v>
      </c>
      <c r="B857" s="2">
        <f t="shared" si="58"/>
        <v>95.64</v>
      </c>
      <c r="C857" s="2">
        <f t="shared" si="57"/>
        <v>-2.88</v>
      </c>
    </row>
    <row r="858" spans="1:3" x14ac:dyDescent="0.25">
      <c r="A858">
        <f t="shared" si="56"/>
        <v>171.19999999999882</v>
      </c>
      <c r="B858" s="2">
        <f t="shared" si="58"/>
        <v>92.76</v>
      </c>
      <c r="C858" s="2">
        <f t="shared" si="57"/>
        <v>-2.88</v>
      </c>
    </row>
    <row r="859" spans="1:3" x14ac:dyDescent="0.25">
      <c r="A859">
        <f t="shared" si="56"/>
        <v>171.39999999999881</v>
      </c>
      <c r="B859" s="2">
        <f t="shared" si="58"/>
        <v>89.88000000000001</v>
      </c>
      <c r="C859" s="2">
        <f t="shared" si="57"/>
        <v>-2.88</v>
      </c>
    </row>
    <row r="860" spans="1:3" x14ac:dyDescent="0.25">
      <c r="A860">
        <f t="shared" si="56"/>
        <v>171.5999999999988</v>
      </c>
      <c r="B860" s="2">
        <f t="shared" si="58"/>
        <v>87.000000000000014</v>
      </c>
      <c r="C860" s="2">
        <f t="shared" si="57"/>
        <v>-2.88</v>
      </c>
    </row>
    <row r="861" spans="1:3" x14ac:dyDescent="0.25">
      <c r="A861">
        <f t="shared" si="56"/>
        <v>171.79999999999879</v>
      </c>
      <c r="B861" s="2">
        <f t="shared" si="58"/>
        <v>84.120000000000019</v>
      </c>
      <c r="C861" s="2">
        <f t="shared" si="57"/>
        <v>-2.88</v>
      </c>
    </row>
    <row r="862" spans="1:3" x14ac:dyDescent="0.25">
      <c r="A862">
        <f t="shared" si="56"/>
        <v>171.99999999999878</v>
      </c>
      <c r="B862" s="2">
        <f t="shared" si="58"/>
        <v>81.240000000000023</v>
      </c>
      <c r="C862" s="2">
        <f t="shared" si="57"/>
        <v>-2.88</v>
      </c>
    </row>
    <row r="863" spans="1:3" x14ac:dyDescent="0.25">
      <c r="A863">
        <f t="shared" si="56"/>
        <v>172.19999999999877</v>
      </c>
      <c r="B863" s="2">
        <f t="shared" si="58"/>
        <v>78.360000000000028</v>
      </c>
      <c r="C863" s="2">
        <f t="shared" si="57"/>
        <v>-2.88</v>
      </c>
    </row>
    <row r="864" spans="1:3" x14ac:dyDescent="0.25">
      <c r="A864">
        <f t="shared" si="56"/>
        <v>172.39999999999876</v>
      </c>
      <c r="B864" s="2">
        <f t="shared" si="58"/>
        <v>75.480000000000032</v>
      </c>
      <c r="C864" s="2">
        <f t="shared" si="57"/>
        <v>-2.88</v>
      </c>
    </row>
    <row r="865" spans="1:3" x14ac:dyDescent="0.25">
      <c r="A865">
        <f t="shared" si="56"/>
        <v>172.59999999999874</v>
      </c>
      <c r="B865" s="2">
        <f t="shared" si="58"/>
        <v>72.600000000000037</v>
      </c>
      <c r="C865" s="2">
        <f t="shared" si="57"/>
        <v>-2.88</v>
      </c>
    </row>
    <row r="866" spans="1:3" x14ac:dyDescent="0.25">
      <c r="A866">
        <f t="shared" si="56"/>
        <v>172.79999999999873</v>
      </c>
      <c r="B866" s="2">
        <f t="shared" si="58"/>
        <v>69.720000000000041</v>
      </c>
      <c r="C866" s="2">
        <f t="shared" si="57"/>
        <v>-2.88</v>
      </c>
    </row>
    <row r="867" spans="1:3" x14ac:dyDescent="0.25">
      <c r="A867">
        <f t="shared" si="56"/>
        <v>172.99999999999872</v>
      </c>
      <c r="B867" s="2">
        <f t="shared" si="58"/>
        <v>66.840000000000046</v>
      </c>
      <c r="C867" s="2">
        <f t="shared" si="57"/>
        <v>-2.88</v>
      </c>
    </row>
    <row r="868" spans="1:3" x14ac:dyDescent="0.25">
      <c r="A868">
        <f t="shared" si="56"/>
        <v>173.19999999999871</v>
      </c>
      <c r="B868" s="2">
        <f t="shared" si="58"/>
        <v>63.960000000000043</v>
      </c>
      <c r="C868" s="2">
        <f t="shared" si="57"/>
        <v>-2.88</v>
      </c>
    </row>
    <row r="869" spans="1:3" x14ac:dyDescent="0.25">
      <c r="A869">
        <f t="shared" si="56"/>
        <v>173.3999999999987</v>
      </c>
      <c r="B869" s="2">
        <f t="shared" si="58"/>
        <v>61.080000000000041</v>
      </c>
      <c r="C869" s="2">
        <f t="shared" si="57"/>
        <v>-2.88</v>
      </c>
    </row>
    <row r="870" spans="1:3" x14ac:dyDescent="0.25">
      <c r="A870">
        <f t="shared" si="56"/>
        <v>173.59999999999869</v>
      </c>
      <c r="B870" s="2">
        <f t="shared" si="58"/>
        <v>58.200000000000038</v>
      </c>
      <c r="C870" s="2">
        <f t="shared" si="57"/>
        <v>-2.88</v>
      </c>
    </row>
    <row r="871" spans="1:3" x14ac:dyDescent="0.25">
      <c r="A871">
        <f t="shared" si="56"/>
        <v>173.79999999999868</v>
      </c>
      <c r="B871" s="2">
        <f t="shared" si="58"/>
        <v>55.320000000000036</v>
      </c>
      <c r="C871" s="2">
        <f t="shared" si="57"/>
        <v>-2.88</v>
      </c>
    </row>
    <row r="872" spans="1:3" x14ac:dyDescent="0.25">
      <c r="A872">
        <f t="shared" si="56"/>
        <v>173.99999999999866</v>
      </c>
      <c r="B872" s="2">
        <f t="shared" si="58"/>
        <v>52.440000000000033</v>
      </c>
      <c r="C872" s="2">
        <f t="shared" si="57"/>
        <v>-2.88</v>
      </c>
    </row>
    <row r="873" spans="1:3" x14ac:dyDescent="0.25">
      <c r="A873">
        <f t="shared" si="56"/>
        <v>174.19999999999865</v>
      </c>
      <c r="B873" s="2">
        <f t="shared" si="58"/>
        <v>49.560000000000031</v>
      </c>
      <c r="C873" s="2">
        <f t="shared" si="57"/>
        <v>-2.88</v>
      </c>
    </row>
    <row r="874" spans="1:3" x14ac:dyDescent="0.25">
      <c r="A874">
        <f t="shared" si="56"/>
        <v>174.39999999999864</v>
      </c>
      <c r="B874" s="2">
        <f t="shared" si="58"/>
        <v>46.680000000000028</v>
      </c>
      <c r="C874" s="2">
        <f t="shared" si="57"/>
        <v>-2.88</v>
      </c>
    </row>
    <row r="875" spans="1:3" x14ac:dyDescent="0.25">
      <c r="A875">
        <f t="shared" si="56"/>
        <v>174.59999999999863</v>
      </c>
      <c r="B875" s="2">
        <f t="shared" si="58"/>
        <v>43.800000000000026</v>
      </c>
      <c r="C875" s="2">
        <f t="shared" si="57"/>
        <v>-2.88</v>
      </c>
    </row>
    <row r="876" spans="1:3" x14ac:dyDescent="0.25">
      <c r="A876">
        <f t="shared" si="56"/>
        <v>174.79999999999862</v>
      </c>
      <c r="B876" s="2">
        <f t="shared" si="58"/>
        <v>40.920000000000023</v>
      </c>
      <c r="C876" s="2">
        <f t="shared" si="57"/>
        <v>-2.88</v>
      </c>
    </row>
    <row r="877" spans="1:3" x14ac:dyDescent="0.25">
      <c r="A877">
        <f t="shared" si="56"/>
        <v>174.99999999999861</v>
      </c>
      <c r="B877" s="2">
        <f t="shared" si="58"/>
        <v>38.04000000000002</v>
      </c>
      <c r="C877" s="2">
        <f t="shared" si="57"/>
        <v>-2.88</v>
      </c>
    </row>
    <row r="878" spans="1:3" x14ac:dyDescent="0.25">
      <c r="A878">
        <f t="shared" si="56"/>
        <v>175.1999999999986</v>
      </c>
      <c r="B878" s="2">
        <f t="shared" si="58"/>
        <v>35.160000000000018</v>
      </c>
      <c r="C878" s="2">
        <f t="shared" si="57"/>
        <v>0</v>
      </c>
    </row>
    <row r="879" spans="1:3" x14ac:dyDescent="0.25">
      <c r="A879">
        <f t="shared" ref="A879:A942" si="59">A878+0.2</f>
        <v>175.39999999999858</v>
      </c>
      <c r="B879" s="2">
        <f t="shared" si="58"/>
        <v>35.160000000000018</v>
      </c>
      <c r="C879" s="2">
        <f t="shared" si="57"/>
        <v>0</v>
      </c>
    </row>
    <row r="880" spans="1:3" x14ac:dyDescent="0.25">
      <c r="A880">
        <f t="shared" si="59"/>
        <v>175.59999999999857</v>
      </c>
      <c r="B880" s="2">
        <f t="shared" si="58"/>
        <v>35.160000000000018</v>
      </c>
      <c r="C880" s="2">
        <f t="shared" si="57"/>
        <v>0</v>
      </c>
    </row>
    <row r="881" spans="1:3" x14ac:dyDescent="0.25">
      <c r="A881">
        <f t="shared" si="59"/>
        <v>175.79999999999856</v>
      </c>
      <c r="B881" s="2">
        <f t="shared" si="58"/>
        <v>35.160000000000018</v>
      </c>
      <c r="C881" s="2">
        <f t="shared" si="57"/>
        <v>0</v>
      </c>
    </row>
    <row r="882" spans="1:3" x14ac:dyDescent="0.25">
      <c r="A882">
        <f t="shared" si="59"/>
        <v>175.99999999999855</v>
      </c>
      <c r="B882" s="2">
        <f t="shared" si="58"/>
        <v>35.160000000000018</v>
      </c>
      <c r="C882" s="2">
        <f t="shared" si="57"/>
        <v>0</v>
      </c>
    </row>
    <row r="883" spans="1:3" x14ac:dyDescent="0.25">
      <c r="A883">
        <f t="shared" si="59"/>
        <v>176.19999999999854</v>
      </c>
      <c r="B883" s="2">
        <f t="shared" si="58"/>
        <v>35.160000000000018</v>
      </c>
      <c r="C883" s="2">
        <f t="shared" si="57"/>
        <v>0</v>
      </c>
    </row>
    <row r="884" spans="1:3" x14ac:dyDescent="0.25">
      <c r="A884">
        <f t="shared" si="59"/>
        <v>176.39999999999853</v>
      </c>
      <c r="B884" s="2">
        <f t="shared" si="58"/>
        <v>35.160000000000018</v>
      </c>
      <c r="C884" s="2">
        <f t="shared" si="57"/>
        <v>0</v>
      </c>
    </row>
    <row r="885" spans="1:3" x14ac:dyDescent="0.25">
      <c r="A885">
        <f t="shared" si="59"/>
        <v>176.59999999999852</v>
      </c>
      <c r="B885" s="2">
        <f t="shared" si="58"/>
        <v>35.160000000000018</v>
      </c>
      <c r="C885" s="2">
        <f t="shared" si="57"/>
        <v>0</v>
      </c>
    </row>
    <row r="886" spans="1:3" x14ac:dyDescent="0.25">
      <c r="A886">
        <f t="shared" si="59"/>
        <v>176.79999999999851</v>
      </c>
      <c r="B886" s="2">
        <f t="shared" si="58"/>
        <v>35.160000000000018</v>
      </c>
      <c r="C886" s="2">
        <f t="shared" si="57"/>
        <v>0</v>
      </c>
    </row>
    <row r="887" spans="1:3" x14ac:dyDescent="0.25">
      <c r="A887">
        <f t="shared" si="59"/>
        <v>176.99999999999849</v>
      </c>
      <c r="B887" s="2">
        <f t="shared" si="58"/>
        <v>35.160000000000018</v>
      </c>
      <c r="C887" s="2">
        <f t="shared" si="57"/>
        <v>0</v>
      </c>
    </row>
    <row r="888" spans="1:3" x14ac:dyDescent="0.25">
      <c r="A888">
        <f t="shared" si="59"/>
        <v>177.19999999999848</v>
      </c>
      <c r="B888" s="2">
        <f t="shared" si="58"/>
        <v>35.160000000000018</v>
      </c>
      <c r="C888" s="2">
        <f t="shared" si="57"/>
        <v>0</v>
      </c>
    </row>
    <row r="889" spans="1:3" x14ac:dyDescent="0.25">
      <c r="A889">
        <f t="shared" si="59"/>
        <v>177.39999999999847</v>
      </c>
      <c r="B889" s="2">
        <f t="shared" si="58"/>
        <v>35.160000000000018</v>
      </c>
      <c r="C889" s="2">
        <f t="shared" si="57"/>
        <v>0</v>
      </c>
    </row>
    <row r="890" spans="1:3" x14ac:dyDescent="0.25">
      <c r="A890">
        <f t="shared" si="59"/>
        <v>177.59999999999846</v>
      </c>
      <c r="B890" s="2">
        <f t="shared" si="58"/>
        <v>35.160000000000018</v>
      </c>
      <c r="C890" s="2">
        <f t="shared" si="57"/>
        <v>0</v>
      </c>
    </row>
    <row r="891" spans="1:3" x14ac:dyDescent="0.25">
      <c r="A891">
        <f t="shared" si="59"/>
        <v>177.79999999999845</v>
      </c>
      <c r="B891" s="2">
        <f t="shared" si="58"/>
        <v>35.160000000000018</v>
      </c>
      <c r="C891" s="2">
        <f t="shared" si="57"/>
        <v>0</v>
      </c>
    </row>
    <row r="892" spans="1:3" x14ac:dyDescent="0.25">
      <c r="A892">
        <f t="shared" si="59"/>
        <v>177.99999999999844</v>
      </c>
      <c r="B892" s="2">
        <f t="shared" si="58"/>
        <v>35.160000000000018</v>
      </c>
      <c r="C892" s="2">
        <f t="shared" si="57"/>
        <v>0</v>
      </c>
    </row>
    <row r="893" spans="1:3" x14ac:dyDescent="0.25">
      <c r="A893">
        <f t="shared" si="59"/>
        <v>178.19999999999843</v>
      </c>
      <c r="B893" s="2">
        <f t="shared" si="58"/>
        <v>35.160000000000018</v>
      </c>
      <c r="C893" s="2">
        <f t="shared" si="57"/>
        <v>0</v>
      </c>
    </row>
    <row r="894" spans="1:3" x14ac:dyDescent="0.25">
      <c r="A894">
        <f t="shared" si="59"/>
        <v>178.39999999999841</v>
      </c>
      <c r="B894" s="2">
        <f t="shared" si="58"/>
        <v>35.160000000000018</v>
      </c>
      <c r="C894" s="2">
        <f t="shared" si="57"/>
        <v>0</v>
      </c>
    </row>
    <row r="895" spans="1:3" x14ac:dyDescent="0.25">
      <c r="A895">
        <f t="shared" si="59"/>
        <v>178.5999999999984</v>
      </c>
      <c r="B895" s="2">
        <f t="shared" si="58"/>
        <v>35.160000000000018</v>
      </c>
      <c r="C895" s="2">
        <f t="shared" si="57"/>
        <v>0</v>
      </c>
    </row>
    <row r="896" spans="1:3" x14ac:dyDescent="0.25">
      <c r="A896">
        <f t="shared" si="59"/>
        <v>178.79999999999839</v>
      </c>
      <c r="B896" s="2">
        <f t="shared" si="58"/>
        <v>35.160000000000018</v>
      </c>
      <c r="C896" s="2">
        <f t="shared" si="57"/>
        <v>0</v>
      </c>
    </row>
    <row r="897" spans="1:3" x14ac:dyDescent="0.25">
      <c r="A897">
        <f t="shared" si="59"/>
        <v>178.99999999999838</v>
      </c>
      <c r="B897" s="2">
        <f t="shared" si="58"/>
        <v>35.160000000000018</v>
      </c>
      <c r="C897" s="2">
        <f t="shared" si="57"/>
        <v>0</v>
      </c>
    </row>
    <row r="898" spans="1:3" x14ac:dyDescent="0.25">
      <c r="A898">
        <f t="shared" si="59"/>
        <v>179.19999999999837</v>
      </c>
      <c r="B898" s="2">
        <f t="shared" si="58"/>
        <v>35.160000000000018</v>
      </c>
      <c r="C898" s="2">
        <f t="shared" si="57"/>
        <v>0</v>
      </c>
    </row>
    <row r="899" spans="1:3" x14ac:dyDescent="0.25">
      <c r="A899">
        <f t="shared" si="59"/>
        <v>179.39999999999836</v>
      </c>
      <c r="B899" s="2">
        <f t="shared" si="58"/>
        <v>35.160000000000018</v>
      </c>
      <c r="C899" s="2">
        <f t="shared" ref="C899:C962" si="60">INDEX($K$3:$K$40,MATCH(A899,$H$2:$H$40,1))</f>
        <v>0</v>
      </c>
    </row>
    <row r="900" spans="1:3" x14ac:dyDescent="0.25">
      <c r="A900">
        <f t="shared" si="59"/>
        <v>179.59999999999835</v>
      </c>
      <c r="B900" s="2">
        <f t="shared" ref="B900:B963" si="61">B899+C899</f>
        <v>35.160000000000018</v>
      </c>
      <c r="C900" s="2">
        <f t="shared" si="60"/>
        <v>0</v>
      </c>
    </row>
    <row r="901" spans="1:3" x14ac:dyDescent="0.25">
      <c r="A901">
        <f t="shared" si="59"/>
        <v>179.79999999999833</v>
      </c>
      <c r="B901" s="2">
        <f t="shared" si="61"/>
        <v>35.160000000000018</v>
      </c>
      <c r="C901" s="2">
        <f t="shared" si="60"/>
        <v>0</v>
      </c>
    </row>
    <row r="902" spans="1:3" x14ac:dyDescent="0.25">
      <c r="A902">
        <f t="shared" si="59"/>
        <v>179.99999999999832</v>
      </c>
      <c r="B902" s="2">
        <f t="shared" si="61"/>
        <v>35.160000000000018</v>
      </c>
      <c r="C902" s="2">
        <f t="shared" si="60"/>
        <v>0</v>
      </c>
    </row>
    <row r="903" spans="1:3" x14ac:dyDescent="0.25">
      <c r="A903">
        <f t="shared" si="59"/>
        <v>180.19999999999831</v>
      </c>
      <c r="B903" s="2">
        <f t="shared" si="61"/>
        <v>35.160000000000018</v>
      </c>
      <c r="C903" s="2">
        <f t="shared" si="60"/>
        <v>0</v>
      </c>
    </row>
    <row r="904" spans="1:3" x14ac:dyDescent="0.25">
      <c r="A904">
        <f t="shared" si="59"/>
        <v>180.3999999999983</v>
      </c>
      <c r="B904" s="2">
        <f t="shared" si="61"/>
        <v>35.160000000000018</v>
      </c>
      <c r="C904" s="2">
        <f t="shared" si="60"/>
        <v>0</v>
      </c>
    </row>
    <row r="905" spans="1:3" x14ac:dyDescent="0.25">
      <c r="A905">
        <f t="shared" si="59"/>
        <v>180.59999999999829</v>
      </c>
      <c r="B905" s="2">
        <f t="shared" si="61"/>
        <v>35.160000000000018</v>
      </c>
      <c r="C905" s="2">
        <f t="shared" si="60"/>
        <v>0</v>
      </c>
    </row>
    <row r="906" spans="1:3" x14ac:dyDescent="0.25">
      <c r="A906">
        <f t="shared" si="59"/>
        <v>180.79999999999828</v>
      </c>
      <c r="B906" s="2">
        <f t="shared" si="61"/>
        <v>35.160000000000018</v>
      </c>
      <c r="C906" s="2">
        <f t="shared" si="60"/>
        <v>0</v>
      </c>
    </row>
    <row r="907" spans="1:3" x14ac:dyDescent="0.25">
      <c r="A907">
        <f t="shared" si="59"/>
        <v>180.99999999999827</v>
      </c>
      <c r="B907" s="2">
        <f t="shared" si="61"/>
        <v>35.160000000000018</v>
      </c>
      <c r="C907" s="2">
        <f t="shared" si="60"/>
        <v>0</v>
      </c>
    </row>
    <row r="908" spans="1:3" x14ac:dyDescent="0.25">
      <c r="A908">
        <f t="shared" si="59"/>
        <v>181.19999999999825</v>
      </c>
      <c r="B908" s="2">
        <f t="shared" si="61"/>
        <v>35.160000000000018</v>
      </c>
      <c r="C908" s="2">
        <f t="shared" si="60"/>
        <v>0</v>
      </c>
    </row>
    <row r="909" spans="1:3" x14ac:dyDescent="0.25">
      <c r="A909">
        <f t="shared" si="59"/>
        <v>181.39999999999824</v>
      </c>
      <c r="B909" s="2">
        <f t="shared" si="61"/>
        <v>35.160000000000018</v>
      </c>
      <c r="C909" s="2">
        <f t="shared" si="60"/>
        <v>0</v>
      </c>
    </row>
    <row r="910" spans="1:3" x14ac:dyDescent="0.25">
      <c r="A910">
        <f t="shared" si="59"/>
        <v>181.59999999999823</v>
      </c>
      <c r="B910" s="2">
        <f t="shared" si="61"/>
        <v>35.160000000000018</v>
      </c>
      <c r="C910" s="2">
        <f t="shared" si="60"/>
        <v>0</v>
      </c>
    </row>
    <row r="911" spans="1:3" x14ac:dyDescent="0.25">
      <c r="A911">
        <f t="shared" si="59"/>
        <v>181.79999999999822</v>
      </c>
      <c r="B911" s="2">
        <f t="shared" si="61"/>
        <v>35.160000000000018</v>
      </c>
      <c r="C911" s="2">
        <f t="shared" si="60"/>
        <v>0</v>
      </c>
    </row>
    <row r="912" spans="1:3" x14ac:dyDescent="0.25">
      <c r="A912">
        <f t="shared" si="59"/>
        <v>181.99999999999821</v>
      </c>
      <c r="B912" s="2">
        <f t="shared" si="61"/>
        <v>35.160000000000018</v>
      </c>
      <c r="C912" s="2">
        <f t="shared" si="60"/>
        <v>0</v>
      </c>
    </row>
    <row r="913" spans="1:3" x14ac:dyDescent="0.25">
      <c r="A913">
        <f t="shared" si="59"/>
        <v>182.1999999999982</v>
      </c>
      <c r="B913" s="2">
        <f t="shared" si="61"/>
        <v>35.160000000000018</v>
      </c>
      <c r="C913" s="2">
        <f t="shared" si="60"/>
        <v>0</v>
      </c>
    </row>
    <row r="914" spans="1:3" x14ac:dyDescent="0.25">
      <c r="A914">
        <f t="shared" si="59"/>
        <v>182.39999999999819</v>
      </c>
      <c r="B914" s="2">
        <f t="shared" si="61"/>
        <v>35.160000000000018</v>
      </c>
      <c r="C914" s="2">
        <f t="shared" si="60"/>
        <v>0</v>
      </c>
    </row>
    <row r="915" spans="1:3" x14ac:dyDescent="0.25">
      <c r="A915">
        <f t="shared" si="59"/>
        <v>182.59999999999818</v>
      </c>
      <c r="B915" s="2">
        <f t="shared" si="61"/>
        <v>35.160000000000018</v>
      </c>
      <c r="C915" s="2">
        <f t="shared" si="60"/>
        <v>0</v>
      </c>
    </row>
    <row r="916" spans="1:3" x14ac:dyDescent="0.25">
      <c r="A916">
        <f t="shared" si="59"/>
        <v>182.79999999999816</v>
      </c>
      <c r="B916" s="2">
        <f t="shared" si="61"/>
        <v>35.160000000000018</v>
      </c>
      <c r="C916" s="2">
        <f t="shared" si="60"/>
        <v>0</v>
      </c>
    </row>
    <row r="917" spans="1:3" x14ac:dyDescent="0.25">
      <c r="A917">
        <f t="shared" si="59"/>
        <v>182.99999999999815</v>
      </c>
      <c r="B917" s="2">
        <f t="shared" si="61"/>
        <v>35.160000000000018</v>
      </c>
      <c r="C917" s="2">
        <f t="shared" si="60"/>
        <v>0</v>
      </c>
    </row>
    <row r="918" spans="1:3" x14ac:dyDescent="0.25">
      <c r="A918">
        <f t="shared" si="59"/>
        <v>183.19999999999814</v>
      </c>
      <c r="B918" s="2">
        <f t="shared" si="61"/>
        <v>35.160000000000018</v>
      </c>
      <c r="C918" s="2">
        <f t="shared" si="60"/>
        <v>0</v>
      </c>
    </row>
    <row r="919" spans="1:3" x14ac:dyDescent="0.25">
      <c r="A919">
        <f t="shared" si="59"/>
        <v>183.39999999999813</v>
      </c>
      <c r="B919" s="2">
        <f t="shared" si="61"/>
        <v>35.160000000000018</v>
      </c>
      <c r="C919" s="2">
        <f t="shared" si="60"/>
        <v>0</v>
      </c>
    </row>
    <row r="920" spans="1:3" x14ac:dyDescent="0.25">
      <c r="A920">
        <f t="shared" si="59"/>
        <v>183.59999999999812</v>
      </c>
      <c r="B920" s="2">
        <f t="shared" si="61"/>
        <v>35.160000000000018</v>
      </c>
      <c r="C920" s="2">
        <f t="shared" si="60"/>
        <v>0</v>
      </c>
    </row>
    <row r="921" spans="1:3" x14ac:dyDescent="0.25">
      <c r="A921">
        <f t="shared" si="59"/>
        <v>183.79999999999811</v>
      </c>
      <c r="B921" s="2">
        <f t="shared" si="61"/>
        <v>35.160000000000018</v>
      </c>
      <c r="C921" s="2">
        <f t="shared" si="60"/>
        <v>0</v>
      </c>
    </row>
    <row r="922" spans="1:3" x14ac:dyDescent="0.25">
      <c r="A922">
        <f t="shared" si="59"/>
        <v>183.9999999999981</v>
      </c>
      <c r="B922" s="2">
        <f t="shared" si="61"/>
        <v>35.160000000000018</v>
      </c>
      <c r="C922" s="2">
        <f t="shared" si="60"/>
        <v>0</v>
      </c>
    </row>
    <row r="923" spans="1:3" x14ac:dyDescent="0.25">
      <c r="A923">
        <f t="shared" si="59"/>
        <v>184.19999999999808</v>
      </c>
      <c r="B923" s="2">
        <f t="shared" si="61"/>
        <v>35.160000000000018</v>
      </c>
      <c r="C923" s="2">
        <f t="shared" si="60"/>
        <v>0</v>
      </c>
    </row>
    <row r="924" spans="1:3" x14ac:dyDescent="0.25">
      <c r="A924">
        <f t="shared" si="59"/>
        <v>184.39999999999807</v>
      </c>
      <c r="B924" s="2">
        <f t="shared" si="61"/>
        <v>35.160000000000018</v>
      </c>
      <c r="C924" s="2">
        <f t="shared" si="60"/>
        <v>0</v>
      </c>
    </row>
    <row r="925" spans="1:3" x14ac:dyDescent="0.25">
      <c r="A925">
        <f t="shared" si="59"/>
        <v>184.59999999999806</v>
      </c>
      <c r="B925" s="2">
        <f t="shared" si="61"/>
        <v>35.160000000000018</v>
      </c>
      <c r="C925" s="2">
        <f t="shared" si="60"/>
        <v>0</v>
      </c>
    </row>
    <row r="926" spans="1:3" x14ac:dyDescent="0.25">
      <c r="A926">
        <f t="shared" si="59"/>
        <v>184.79999999999805</v>
      </c>
      <c r="B926" s="2">
        <f t="shared" si="61"/>
        <v>35.160000000000018</v>
      </c>
      <c r="C926" s="2">
        <f t="shared" si="60"/>
        <v>0</v>
      </c>
    </row>
    <row r="927" spans="1:3" x14ac:dyDescent="0.25">
      <c r="A927">
        <f t="shared" si="59"/>
        <v>184.99999999999804</v>
      </c>
      <c r="B927" s="2">
        <f t="shared" si="61"/>
        <v>35.160000000000018</v>
      </c>
      <c r="C927" s="2">
        <f t="shared" si="60"/>
        <v>0</v>
      </c>
    </row>
    <row r="928" spans="1:3" x14ac:dyDescent="0.25">
      <c r="A928">
        <f t="shared" si="59"/>
        <v>185.19999999999803</v>
      </c>
      <c r="B928" s="2">
        <f t="shared" si="61"/>
        <v>35.160000000000018</v>
      </c>
      <c r="C928" s="2">
        <f t="shared" si="60"/>
        <v>4.88</v>
      </c>
    </row>
    <row r="929" spans="1:3" x14ac:dyDescent="0.25">
      <c r="A929">
        <f t="shared" si="59"/>
        <v>185.39999999999802</v>
      </c>
      <c r="B929" s="2">
        <f t="shared" si="61"/>
        <v>40.04000000000002</v>
      </c>
      <c r="C929" s="2">
        <f t="shared" si="60"/>
        <v>4.88</v>
      </c>
    </row>
    <row r="930" spans="1:3" x14ac:dyDescent="0.25">
      <c r="A930">
        <f t="shared" si="59"/>
        <v>185.599999999998</v>
      </c>
      <c r="B930" s="2">
        <f t="shared" si="61"/>
        <v>44.920000000000023</v>
      </c>
      <c r="C930" s="2">
        <f t="shared" si="60"/>
        <v>4.88</v>
      </c>
    </row>
    <row r="931" spans="1:3" x14ac:dyDescent="0.25">
      <c r="A931">
        <f t="shared" si="59"/>
        <v>185.79999999999799</v>
      </c>
      <c r="B931" s="2">
        <f t="shared" si="61"/>
        <v>49.800000000000026</v>
      </c>
      <c r="C931" s="2">
        <f t="shared" si="60"/>
        <v>4.88</v>
      </c>
    </row>
    <row r="932" spans="1:3" x14ac:dyDescent="0.25">
      <c r="A932">
        <f t="shared" si="59"/>
        <v>185.99999999999798</v>
      </c>
      <c r="B932" s="2">
        <f t="shared" si="61"/>
        <v>54.680000000000028</v>
      </c>
      <c r="C932" s="2">
        <f t="shared" si="60"/>
        <v>4.88</v>
      </c>
    </row>
    <row r="933" spans="1:3" x14ac:dyDescent="0.25">
      <c r="A933">
        <f t="shared" si="59"/>
        <v>186.19999999999797</v>
      </c>
      <c r="B933" s="2">
        <f t="shared" si="61"/>
        <v>59.560000000000031</v>
      </c>
      <c r="C933" s="2">
        <f t="shared" si="60"/>
        <v>4.88</v>
      </c>
    </row>
    <row r="934" spans="1:3" x14ac:dyDescent="0.25">
      <c r="A934">
        <f t="shared" si="59"/>
        <v>186.39999999999796</v>
      </c>
      <c r="B934" s="2">
        <f t="shared" si="61"/>
        <v>64.440000000000026</v>
      </c>
      <c r="C934" s="2">
        <f t="shared" si="60"/>
        <v>4.88</v>
      </c>
    </row>
    <row r="935" spans="1:3" x14ac:dyDescent="0.25">
      <c r="A935">
        <f t="shared" si="59"/>
        <v>186.59999999999795</v>
      </c>
      <c r="B935" s="2">
        <f t="shared" si="61"/>
        <v>69.320000000000022</v>
      </c>
      <c r="C935" s="2">
        <f t="shared" si="60"/>
        <v>4.88</v>
      </c>
    </row>
    <row r="936" spans="1:3" x14ac:dyDescent="0.25">
      <c r="A936">
        <f t="shared" si="59"/>
        <v>186.79999999999794</v>
      </c>
      <c r="B936" s="2">
        <f t="shared" si="61"/>
        <v>74.200000000000017</v>
      </c>
      <c r="C936" s="2">
        <f t="shared" si="60"/>
        <v>4.88</v>
      </c>
    </row>
    <row r="937" spans="1:3" x14ac:dyDescent="0.25">
      <c r="A937">
        <f t="shared" si="59"/>
        <v>186.99999999999793</v>
      </c>
      <c r="B937" s="2">
        <f t="shared" si="61"/>
        <v>79.080000000000013</v>
      </c>
      <c r="C937" s="2">
        <f t="shared" si="60"/>
        <v>4.88</v>
      </c>
    </row>
    <row r="938" spans="1:3" x14ac:dyDescent="0.25">
      <c r="A938">
        <f t="shared" si="59"/>
        <v>187.19999999999791</v>
      </c>
      <c r="B938" s="2">
        <f t="shared" si="61"/>
        <v>83.960000000000008</v>
      </c>
      <c r="C938" s="2">
        <f t="shared" si="60"/>
        <v>4.88</v>
      </c>
    </row>
    <row r="939" spans="1:3" x14ac:dyDescent="0.25">
      <c r="A939">
        <f t="shared" si="59"/>
        <v>187.3999999999979</v>
      </c>
      <c r="B939" s="2">
        <f t="shared" si="61"/>
        <v>88.84</v>
      </c>
      <c r="C939" s="2">
        <f t="shared" si="60"/>
        <v>4.88</v>
      </c>
    </row>
    <row r="940" spans="1:3" x14ac:dyDescent="0.25">
      <c r="A940">
        <f t="shared" si="59"/>
        <v>187.59999999999789</v>
      </c>
      <c r="B940" s="2">
        <f t="shared" si="61"/>
        <v>93.72</v>
      </c>
      <c r="C940" s="2">
        <f t="shared" si="60"/>
        <v>4.88</v>
      </c>
    </row>
    <row r="941" spans="1:3" x14ac:dyDescent="0.25">
      <c r="A941">
        <f t="shared" si="59"/>
        <v>187.79999999999788</v>
      </c>
      <c r="B941" s="2">
        <f t="shared" si="61"/>
        <v>98.6</v>
      </c>
      <c r="C941" s="2">
        <f t="shared" si="60"/>
        <v>4.88</v>
      </c>
    </row>
    <row r="942" spans="1:3" x14ac:dyDescent="0.25">
      <c r="A942">
        <f t="shared" si="59"/>
        <v>187.99999999999787</v>
      </c>
      <c r="B942" s="2">
        <f t="shared" si="61"/>
        <v>103.47999999999999</v>
      </c>
      <c r="C942" s="2">
        <f t="shared" si="60"/>
        <v>4.88</v>
      </c>
    </row>
    <row r="943" spans="1:3" x14ac:dyDescent="0.25">
      <c r="A943">
        <f t="shared" ref="A943:A1006" si="62">A942+0.2</f>
        <v>188.19999999999786</v>
      </c>
      <c r="B943" s="2">
        <f t="shared" si="61"/>
        <v>108.35999999999999</v>
      </c>
      <c r="C943" s="2">
        <f t="shared" si="60"/>
        <v>4.88</v>
      </c>
    </row>
    <row r="944" spans="1:3" x14ac:dyDescent="0.25">
      <c r="A944">
        <f t="shared" si="62"/>
        <v>188.39999999999785</v>
      </c>
      <c r="B944" s="2">
        <f t="shared" si="61"/>
        <v>113.23999999999998</v>
      </c>
      <c r="C944" s="2">
        <f t="shared" si="60"/>
        <v>4.88</v>
      </c>
    </row>
    <row r="945" spans="1:3" x14ac:dyDescent="0.25">
      <c r="A945">
        <f t="shared" si="62"/>
        <v>188.59999999999783</v>
      </c>
      <c r="B945" s="2">
        <f t="shared" si="61"/>
        <v>118.11999999999998</v>
      </c>
      <c r="C945" s="2">
        <f t="shared" si="60"/>
        <v>4.88</v>
      </c>
    </row>
    <row r="946" spans="1:3" x14ac:dyDescent="0.25">
      <c r="A946">
        <f t="shared" si="62"/>
        <v>188.79999999999782</v>
      </c>
      <c r="B946" s="2">
        <f t="shared" si="61"/>
        <v>122.99999999999997</v>
      </c>
      <c r="C946" s="2">
        <f t="shared" si="60"/>
        <v>4.88</v>
      </c>
    </row>
    <row r="947" spans="1:3" x14ac:dyDescent="0.25">
      <c r="A947">
        <f t="shared" si="62"/>
        <v>188.99999999999781</v>
      </c>
      <c r="B947" s="2">
        <f t="shared" si="61"/>
        <v>127.87999999999997</v>
      </c>
      <c r="C947" s="2">
        <f t="shared" si="60"/>
        <v>4.88</v>
      </c>
    </row>
    <row r="948" spans="1:3" x14ac:dyDescent="0.25">
      <c r="A948">
        <f t="shared" si="62"/>
        <v>189.1999999999978</v>
      </c>
      <c r="B948" s="2">
        <f t="shared" si="61"/>
        <v>132.75999999999996</v>
      </c>
      <c r="C948" s="2">
        <f t="shared" si="60"/>
        <v>4.88</v>
      </c>
    </row>
    <row r="949" spans="1:3" x14ac:dyDescent="0.25">
      <c r="A949">
        <f t="shared" si="62"/>
        <v>189.39999999999779</v>
      </c>
      <c r="B949" s="2">
        <f t="shared" si="61"/>
        <v>137.63999999999996</v>
      </c>
      <c r="C949" s="2">
        <f t="shared" si="60"/>
        <v>4.88</v>
      </c>
    </row>
    <row r="950" spans="1:3" x14ac:dyDescent="0.25">
      <c r="A950">
        <f t="shared" si="62"/>
        <v>189.59999999999778</v>
      </c>
      <c r="B950" s="2">
        <f t="shared" si="61"/>
        <v>142.51999999999995</v>
      </c>
      <c r="C950" s="2">
        <f t="shared" si="60"/>
        <v>4.88</v>
      </c>
    </row>
    <row r="951" spans="1:3" x14ac:dyDescent="0.25">
      <c r="A951">
        <f t="shared" si="62"/>
        <v>189.79999999999777</v>
      </c>
      <c r="B951" s="2">
        <f t="shared" si="61"/>
        <v>147.39999999999995</v>
      </c>
      <c r="C951" s="2">
        <f t="shared" si="60"/>
        <v>4.88</v>
      </c>
    </row>
    <row r="952" spans="1:3" x14ac:dyDescent="0.25">
      <c r="A952">
        <f t="shared" si="62"/>
        <v>189.99999999999775</v>
      </c>
      <c r="B952" s="2">
        <f t="shared" si="61"/>
        <v>152.27999999999994</v>
      </c>
      <c r="C952" s="2">
        <f t="shared" si="60"/>
        <v>4.88</v>
      </c>
    </row>
    <row r="953" spans="1:3" x14ac:dyDescent="0.25">
      <c r="A953">
        <f t="shared" si="62"/>
        <v>190.19999999999774</v>
      </c>
      <c r="B953" s="2">
        <f t="shared" si="61"/>
        <v>157.15999999999994</v>
      </c>
      <c r="C953" s="2">
        <f t="shared" si="60"/>
        <v>0</v>
      </c>
    </row>
    <row r="954" spans="1:3" x14ac:dyDescent="0.25">
      <c r="A954">
        <f t="shared" si="62"/>
        <v>190.39999999999773</v>
      </c>
      <c r="B954" s="2">
        <f t="shared" si="61"/>
        <v>157.15999999999994</v>
      </c>
      <c r="C954" s="2">
        <f t="shared" si="60"/>
        <v>0</v>
      </c>
    </row>
    <row r="955" spans="1:3" x14ac:dyDescent="0.25">
      <c r="A955">
        <f t="shared" si="62"/>
        <v>190.59999999999772</v>
      </c>
      <c r="B955" s="2">
        <f t="shared" si="61"/>
        <v>157.15999999999994</v>
      </c>
      <c r="C955" s="2">
        <f t="shared" si="60"/>
        <v>0</v>
      </c>
    </row>
    <row r="956" spans="1:3" x14ac:dyDescent="0.25">
      <c r="A956">
        <f t="shared" si="62"/>
        <v>190.79999999999771</v>
      </c>
      <c r="B956" s="2">
        <f t="shared" si="61"/>
        <v>157.15999999999994</v>
      </c>
      <c r="C956" s="2">
        <f t="shared" si="60"/>
        <v>0</v>
      </c>
    </row>
    <row r="957" spans="1:3" x14ac:dyDescent="0.25">
      <c r="A957">
        <f t="shared" si="62"/>
        <v>190.9999999999977</v>
      </c>
      <c r="B957" s="2">
        <f t="shared" si="61"/>
        <v>157.15999999999994</v>
      </c>
      <c r="C957" s="2">
        <f t="shared" si="60"/>
        <v>0</v>
      </c>
    </row>
    <row r="958" spans="1:3" x14ac:dyDescent="0.25">
      <c r="A958">
        <f t="shared" si="62"/>
        <v>191.19999999999769</v>
      </c>
      <c r="B958" s="2">
        <f t="shared" si="61"/>
        <v>157.15999999999994</v>
      </c>
      <c r="C958" s="2">
        <f t="shared" si="60"/>
        <v>0</v>
      </c>
    </row>
    <row r="959" spans="1:3" x14ac:dyDescent="0.25">
      <c r="A959">
        <f t="shared" si="62"/>
        <v>191.39999999999768</v>
      </c>
      <c r="B959" s="2">
        <f t="shared" si="61"/>
        <v>157.15999999999994</v>
      </c>
      <c r="C959" s="2">
        <f t="shared" si="60"/>
        <v>0</v>
      </c>
    </row>
    <row r="960" spans="1:3" x14ac:dyDescent="0.25">
      <c r="A960">
        <f t="shared" si="62"/>
        <v>191.59999999999766</v>
      </c>
      <c r="B960" s="2">
        <f t="shared" si="61"/>
        <v>157.15999999999994</v>
      </c>
      <c r="C960" s="2">
        <f t="shared" si="60"/>
        <v>0</v>
      </c>
    </row>
    <row r="961" spans="1:3" x14ac:dyDescent="0.25">
      <c r="A961">
        <f t="shared" si="62"/>
        <v>191.79999999999765</v>
      </c>
      <c r="B961" s="2">
        <f t="shared" si="61"/>
        <v>157.15999999999994</v>
      </c>
      <c r="C961" s="2">
        <f t="shared" si="60"/>
        <v>0</v>
      </c>
    </row>
    <row r="962" spans="1:3" x14ac:dyDescent="0.25">
      <c r="A962">
        <f t="shared" si="62"/>
        <v>191.99999999999764</v>
      </c>
      <c r="B962" s="2">
        <f t="shared" si="61"/>
        <v>157.15999999999994</v>
      </c>
      <c r="C962" s="2">
        <f t="shared" si="60"/>
        <v>0</v>
      </c>
    </row>
    <row r="963" spans="1:3" x14ac:dyDescent="0.25">
      <c r="A963">
        <f t="shared" si="62"/>
        <v>192.19999999999763</v>
      </c>
      <c r="B963" s="2">
        <f t="shared" si="61"/>
        <v>157.15999999999994</v>
      </c>
      <c r="C963" s="2">
        <f t="shared" ref="C963:C1026" si="63">INDEX($K$3:$K$40,MATCH(A963,$H$2:$H$40,1))</f>
        <v>0</v>
      </c>
    </row>
    <row r="964" spans="1:3" x14ac:dyDescent="0.25">
      <c r="A964">
        <f t="shared" si="62"/>
        <v>192.39999999999762</v>
      </c>
      <c r="B964" s="2">
        <f t="shared" ref="B964:B1027" si="64">B963+C963</f>
        <v>157.15999999999994</v>
      </c>
      <c r="C964" s="2">
        <f t="shared" si="63"/>
        <v>0</v>
      </c>
    </row>
    <row r="965" spans="1:3" x14ac:dyDescent="0.25">
      <c r="A965">
        <f t="shared" si="62"/>
        <v>192.59999999999761</v>
      </c>
      <c r="B965" s="2">
        <f t="shared" si="64"/>
        <v>157.15999999999994</v>
      </c>
      <c r="C965" s="2">
        <f t="shared" si="63"/>
        <v>0</v>
      </c>
    </row>
    <row r="966" spans="1:3" x14ac:dyDescent="0.25">
      <c r="A966">
        <f t="shared" si="62"/>
        <v>192.7999999999976</v>
      </c>
      <c r="B966" s="2">
        <f t="shared" si="64"/>
        <v>157.15999999999994</v>
      </c>
      <c r="C966" s="2">
        <f t="shared" si="63"/>
        <v>0</v>
      </c>
    </row>
    <row r="967" spans="1:3" x14ac:dyDescent="0.25">
      <c r="A967">
        <f t="shared" si="62"/>
        <v>192.99999999999758</v>
      </c>
      <c r="B967" s="2">
        <f t="shared" si="64"/>
        <v>157.15999999999994</v>
      </c>
      <c r="C967" s="2">
        <f t="shared" si="63"/>
        <v>0</v>
      </c>
    </row>
    <row r="968" spans="1:3" x14ac:dyDescent="0.25">
      <c r="A968">
        <f t="shared" si="62"/>
        <v>193.19999999999757</v>
      </c>
      <c r="B968" s="2">
        <f t="shared" si="64"/>
        <v>157.15999999999994</v>
      </c>
      <c r="C968" s="2">
        <f t="shared" si="63"/>
        <v>0</v>
      </c>
    </row>
    <row r="969" spans="1:3" x14ac:dyDescent="0.25">
      <c r="A969">
        <f t="shared" si="62"/>
        <v>193.39999999999756</v>
      </c>
      <c r="B969" s="2">
        <f t="shared" si="64"/>
        <v>157.15999999999994</v>
      </c>
      <c r="C969" s="2">
        <f t="shared" si="63"/>
        <v>0</v>
      </c>
    </row>
    <row r="970" spans="1:3" x14ac:dyDescent="0.25">
      <c r="A970">
        <f t="shared" si="62"/>
        <v>193.59999999999755</v>
      </c>
      <c r="B970" s="2">
        <f t="shared" si="64"/>
        <v>157.15999999999994</v>
      </c>
      <c r="C970" s="2">
        <f t="shared" si="63"/>
        <v>0</v>
      </c>
    </row>
    <row r="971" spans="1:3" x14ac:dyDescent="0.25">
      <c r="A971">
        <f t="shared" si="62"/>
        <v>193.79999999999754</v>
      </c>
      <c r="B971" s="2">
        <f t="shared" si="64"/>
        <v>157.15999999999994</v>
      </c>
      <c r="C971" s="2">
        <f t="shared" si="63"/>
        <v>0</v>
      </c>
    </row>
    <row r="972" spans="1:3" x14ac:dyDescent="0.25">
      <c r="A972">
        <f t="shared" si="62"/>
        <v>193.99999999999753</v>
      </c>
      <c r="B972" s="2">
        <f t="shared" si="64"/>
        <v>157.15999999999994</v>
      </c>
      <c r="C972" s="2">
        <f t="shared" si="63"/>
        <v>0</v>
      </c>
    </row>
    <row r="973" spans="1:3" x14ac:dyDescent="0.25">
      <c r="A973">
        <f t="shared" si="62"/>
        <v>194.19999999999752</v>
      </c>
      <c r="B973" s="2">
        <f t="shared" si="64"/>
        <v>157.15999999999994</v>
      </c>
      <c r="C973" s="2">
        <f t="shared" si="63"/>
        <v>0</v>
      </c>
    </row>
    <row r="974" spans="1:3" x14ac:dyDescent="0.25">
      <c r="A974">
        <f t="shared" si="62"/>
        <v>194.3999999999975</v>
      </c>
      <c r="B974" s="2">
        <f t="shared" si="64"/>
        <v>157.15999999999994</v>
      </c>
      <c r="C974" s="2">
        <f t="shared" si="63"/>
        <v>0</v>
      </c>
    </row>
    <row r="975" spans="1:3" x14ac:dyDescent="0.25">
      <c r="A975">
        <f t="shared" si="62"/>
        <v>194.59999999999749</v>
      </c>
      <c r="B975" s="2">
        <f t="shared" si="64"/>
        <v>157.15999999999994</v>
      </c>
      <c r="C975" s="2">
        <f t="shared" si="63"/>
        <v>0</v>
      </c>
    </row>
    <row r="976" spans="1:3" x14ac:dyDescent="0.25">
      <c r="A976">
        <f t="shared" si="62"/>
        <v>194.79999999999748</v>
      </c>
      <c r="B976" s="2">
        <f t="shared" si="64"/>
        <v>157.15999999999994</v>
      </c>
      <c r="C976" s="2">
        <f t="shared" si="63"/>
        <v>0</v>
      </c>
    </row>
    <row r="977" spans="1:3" x14ac:dyDescent="0.25">
      <c r="A977">
        <f t="shared" si="62"/>
        <v>194.99999999999747</v>
      </c>
      <c r="B977" s="2">
        <f t="shared" si="64"/>
        <v>157.15999999999994</v>
      </c>
      <c r="C977" s="2">
        <f t="shared" si="63"/>
        <v>0</v>
      </c>
    </row>
    <row r="978" spans="1:3" x14ac:dyDescent="0.25">
      <c r="A978">
        <f t="shared" si="62"/>
        <v>195.19999999999746</v>
      </c>
      <c r="B978" s="2">
        <f t="shared" si="64"/>
        <v>157.15999999999994</v>
      </c>
      <c r="C978" s="2">
        <f t="shared" si="63"/>
        <v>-4.88</v>
      </c>
    </row>
    <row r="979" spans="1:3" x14ac:dyDescent="0.25">
      <c r="A979">
        <f t="shared" si="62"/>
        <v>195.39999999999745</v>
      </c>
      <c r="B979" s="2">
        <f t="shared" si="64"/>
        <v>152.27999999999994</v>
      </c>
      <c r="C979" s="2">
        <f t="shared" si="63"/>
        <v>-4.88</v>
      </c>
    </row>
    <row r="980" spans="1:3" x14ac:dyDescent="0.25">
      <c r="A980">
        <f t="shared" si="62"/>
        <v>195.59999999999744</v>
      </c>
      <c r="B980" s="2">
        <f t="shared" si="64"/>
        <v>147.39999999999995</v>
      </c>
      <c r="C980" s="2">
        <f t="shared" si="63"/>
        <v>-4.88</v>
      </c>
    </row>
    <row r="981" spans="1:3" x14ac:dyDescent="0.25">
      <c r="A981">
        <f t="shared" si="62"/>
        <v>195.79999999999742</v>
      </c>
      <c r="B981" s="2">
        <f t="shared" si="64"/>
        <v>142.51999999999995</v>
      </c>
      <c r="C981" s="2">
        <f t="shared" si="63"/>
        <v>-4.88</v>
      </c>
    </row>
    <row r="982" spans="1:3" x14ac:dyDescent="0.25">
      <c r="A982">
        <f t="shared" si="62"/>
        <v>195.99999999999741</v>
      </c>
      <c r="B982" s="2">
        <f t="shared" si="64"/>
        <v>137.63999999999996</v>
      </c>
      <c r="C982" s="2">
        <f t="shared" si="63"/>
        <v>-4.88</v>
      </c>
    </row>
    <row r="983" spans="1:3" x14ac:dyDescent="0.25">
      <c r="A983">
        <f t="shared" si="62"/>
        <v>196.1999999999974</v>
      </c>
      <c r="B983" s="2">
        <f t="shared" si="64"/>
        <v>132.75999999999996</v>
      </c>
      <c r="C983" s="2">
        <f t="shared" si="63"/>
        <v>-4.88</v>
      </c>
    </row>
    <row r="984" spans="1:3" x14ac:dyDescent="0.25">
      <c r="A984">
        <f t="shared" si="62"/>
        <v>196.39999999999739</v>
      </c>
      <c r="B984" s="2">
        <f t="shared" si="64"/>
        <v>127.87999999999997</v>
      </c>
      <c r="C984" s="2">
        <f t="shared" si="63"/>
        <v>-4.88</v>
      </c>
    </row>
    <row r="985" spans="1:3" x14ac:dyDescent="0.25">
      <c r="A985">
        <f t="shared" si="62"/>
        <v>196.59999999999738</v>
      </c>
      <c r="B985" s="2">
        <f t="shared" si="64"/>
        <v>122.99999999999997</v>
      </c>
      <c r="C985" s="2">
        <f t="shared" si="63"/>
        <v>-4.88</v>
      </c>
    </row>
    <row r="986" spans="1:3" x14ac:dyDescent="0.25">
      <c r="A986">
        <f t="shared" si="62"/>
        <v>196.79999999999737</v>
      </c>
      <c r="B986" s="2">
        <f t="shared" si="64"/>
        <v>118.11999999999998</v>
      </c>
      <c r="C986" s="2">
        <f t="shared" si="63"/>
        <v>-4.88</v>
      </c>
    </row>
    <row r="987" spans="1:3" x14ac:dyDescent="0.25">
      <c r="A987">
        <f t="shared" si="62"/>
        <v>196.99999999999736</v>
      </c>
      <c r="B987" s="2">
        <f t="shared" si="64"/>
        <v>113.23999999999998</v>
      </c>
      <c r="C987" s="2">
        <f t="shared" si="63"/>
        <v>-4.88</v>
      </c>
    </row>
    <row r="988" spans="1:3" x14ac:dyDescent="0.25">
      <c r="A988">
        <f t="shared" si="62"/>
        <v>197.19999999999735</v>
      </c>
      <c r="B988" s="2">
        <f t="shared" si="64"/>
        <v>108.35999999999999</v>
      </c>
      <c r="C988" s="2">
        <f t="shared" si="63"/>
        <v>-4.88</v>
      </c>
    </row>
    <row r="989" spans="1:3" x14ac:dyDescent="0.25">
      <c r="A989">
        <f t="shared" si="62"/>
        <v>197.39999999999733</v>
      </c>
      <c r="B989" s="2">
        <f t="shared" si="64"/>
        <v>103.47999999999999</v>
      </c>
      <c r="C989" s="2">
        <f t="shared" si="63"/>
        <v>-4.88</v>
      </c>
    </row>
    <row r="990" spans="1:3" x14ac:dyDescent="0.25">
      <c r="A990">
        <f t="shared" si="62"/>
        <v>197.59999999999732</v>
      </c>
      <c r="B990" s="2">
        <f t="shared" si="64"/>
        <v>98.6</v>
      </c>
      <c r="C990" s="2">
        <f t="shared" si="63"/>
        <v>-4.88</v>
      </c>
    </row>
    <row r="991" spans="1:3" x14ac:dyDescent="0.25">
      <c r="A991">
        <f t="shared" si="62"/>
        <v>197.79999999999731</v>
      </c>
      <c r="B991" s="2">
        <f t="shared" si="64"/>
        <v>93.72</v>
      </c>
      <c r="C991" s="2">
        <f t="shared" si="63"/>
        <v>-4.88</v>
      </c>
    </row>
    <row r="992" spans="1:3" x14ac:dyDescent="0.25">
      <c r="A992">
        <f t="shared" si="62"/>
        <v>197.9999999999973</v>
      </c>
      <c r="B992" s="2">
        <f t="shared" si="64"/>
        <v>88.84</v>
      </c>
      <c r="C992" s="2">
        <f t="shared" si="63"/>
        <v>-4.88</v>
      </c>
    </row>
    <row r="993" spans="1:3" x14ac:dyDescent="0.25">
      <c r="A993">
        <f t="shared" si="62"/>
        <v>198.19999999999729</v>
      </c>
      <c r="B993" s="2">
        <f t="shared" si="64"/>
        <v>83.960000000000008</v>
      </c>
      <c r="C993" s="2">
        <f t="shared" si="63"/>
        <v>-4.88</v>
      </c>
    </row>
    <row r="994" spans="1:3" x14ac:dyDescent="0.25">
      <c r="A994">
        <f t="shared" si="62"/>
        <v>198.39999999999728</v>
      </c>
      <c r="B994" s="2">
        <f t="shared" si="64"/>
        <v>79.080000000000013</v>
      </c>
      <c r="C994" s="2">
        <f t="shared" si="63"/>
        <v>-4.88</v>
      </c>
    </row>
    <row r="995" spans="1:3" x14ac:dyDescent="0.25">
      <c r="A995">
        <f t="shared" si="62"/>
        <v>198.59999999999727</v>
      </c>
      <c r="B995" s="2">
        <f t="shared" si="64"/>
        <v>74.200000000000017</v>
      </c>
      <c r="C995" s="2">
        <f t="shared" si="63"/>
        <v>-4.88</v>
      </c>
    </row>
    <row r="996" spans="1:3" x14ac:dyDescent="0.25">
      <c r="A996">
        <f t="shared" si="62"/>
        <v>198.79999999999725</v>
      </c>
      <c r="B996" s="2">
        <f t="shared" si="64"/>
        <v>69.320000000000022</v>
      </c>
      <c r="C996" s="2">
        <f t="shared" si="63"/>
        <v>-4.88</v>
      </c>
    </row>
    <row r="997" spans="1:3" x14ac:dyDescent="0.25">
      <c r="A997">
        <f t="shared" si="62"/>
        <v>198.99999999999724</v>
      </c>
      <c r="B997" s="2">
        <f t="shared" si="64"/>
        <v>64.440000000000026</v>
      </c>
      <c r="C997" s="2">
        <f t="shared" si="63"/>
        <v>-4.88</v>
      </c>
    </row>
    <row r="998" spans="1:3" x14ac:dyDescent="0.25">
      <c r="A998">
        <f t="shared" si="62"/>
        <v>199.19999999999723</v>
      </c>
      <c r="B998" s="2">
        <f t="shared" si="64"/>
        <v>59.560000000000024</v>
      </c>
      <c r="C998" s="2">
        <f t="shared" si="63"/>
        <v>-4.88</v>
      </c>
    </row>
    <row r="999" spans="1:3" x14ac:dyDescent="0.25">
      <c r="A999">
        <f t="shared" si="62"/>
        <v>199.39999999999722</v>
      </c>
      <c r="B999" s="2">
        <f t="shared" si="64"/>
        <v>54.680000000000021</v>
      </c>
      <c r="C999" s="2">
        <f t="shared" si="63"/>
        <v>-4.88</v>
      </c>
    </row>
    <row r="1000" spans="1:3" x14ac:dyDescent="0.25">
      <c r="A1000">
        <f t="shared" si="62"/>
        <v>199.59999999999721</v>
      </c>
      <c r="B1000" s="2">
        <f t="shared" si="64"/>
        <v>49.800000000000018</v>
      </c>
      <c r="C1000" s="2">
        <f t="shared" si="63"/>
        <v>-4.88</v>
      </c>
    </row>
    <row r="1001" spans="1:3" x14ac:dyDescent="0.25">
      <c r="A1001">
        <f t="shared" si="62"/>
        <v>199.7999999999972</v>
      </c>
      <c r="B1001" s="2">
        <f t="shared" si="64"/>
        <v>44.920000000000016</v>
      </c>
      <c r="C1001" s="2">
        <f t="shared" si="63"/>
        <v>-4.88</v>
      </c>
    </row>
    <row r="1002" spans="1:3" x14ac:dyDescent="0.25">
      <c r="A1002">
        <f t="shared" si="62"/>
        <v>199.99999999999719</v>
      </c>
      <c r="B1002" s="2">
        <f t="shared" si="64"/>
        <v>40.040000000000013</v>
      </c>
      <c r="C1002" s="2">
        <f t="shared" si="63"/>
        <v>-4.88</v>
      </c>
    </row>
    <row r="1003" spans="1:3" x14ac:dyDescent="0.25">
      <c r="A1003">
        <f t="shared" si="62"/>
        <v>200.19999999999717</v>
      </c>
      <c r="B1003" s="2">
        <f t="shared" si="64"/>
        <v>35.160000000000011</v>
      </c>
      <c r="C1003" s="2">
        <f t="shared" si="63"/>
        <v>0</v>
      </c>
    </row>
    <row r="1004" spans="1:3" x14ac:dyDescent="0.25">
      <c r="A1004">
        <f t="shared" si="62"/>
        <v>200.39999999999716</v>
      </c>
      <c r="B1004" s="2">
        <f t="shared" si="64"/>
        <v>35.160000000000011</v>
      </c>
      <c r="C1004" s="2">
        <f t="shared" si="63"/>
        <v>0</v>
      </c>
    </row>
    <row r="1005" spans="1:3" x14ac:dyDescent="0.25">
      <c r="A1005">
        <f t="shared" si="62"/>
        <v>200.59999999999715</v>
      </c>
      <c r="B1005" s="2">
        <f t="shared" si="64"/>
        <v>35.160000000000011</v>
      </c>
      <c r="C1005" s="2">
        <f t="shared" si="63"/>
        <v>0</v>
      </c>
    </row>
    <row r="1006" spans="1:3" x14ac:dyDescent="0.25">
      <c r="A1006">
        <f t="shared" si="62"/>
        <v>200.79999999999714</v>
      </c>
      <c r="B1006" s="2">
        <f t="shared" si="64"/>
        <v>35.160000000000011</v>
      </c>
      <c r="C1006" s="2">
        <f t="shared" si="63"/>
        <v>0</v>
      </c>
    </row>
    <row r="1007" spans="1:3" x14ac:dyDescent="0.25">
      <c r="A1007">
        <f t="shared" ref="A1007:A1070" si="65">A1006+0.2</f>
        <v>200.99999999999713</v>
      </c>
      <c r="B1007" s="2">
        <f t="shared" si="64"/>
        <v>35.160000000000011</v>
      </c>
      <c r="C1007" s="2">
        <f t="shared" si="63"/>
        <v>0</v>
      </c>
    </row>
    <row r="1008" spans="1:3" x14ac:dyDescent="0.25">
      <c r="A1008">
        <f t="shared" si="65"/>
        <v>201.19999999999712</v>
      </c>
      <c r="B1008" s="2">
        <f t="shared" si="64"/>
        <v>35.160000000000011</v>
      </c>
      <c r="C1008" s="2">
        <f t="shared" si="63"/>
        <v>0</v>
      </c>
    </row>
    <row r="1009" spans="1:3" x14ac:dyDescent="0.25">
      <c r="A1009">
        <f t="shared" si="65"/>
        <v>201.39999999999711</v>
      </c>
      <c r="B1009" s="2">
        <f t="shared" si="64"/>
        <v>35.160000000000011</v>
      </c>
      <c r="C1009" s="2">
        <f t="shared" si="63"/>
        <v>0</v>
      </c>
    </row>
    <row r="1010" spans="1:3" x14ac:dyDescent="0.25">
      <c r="A1010">
        <f t="shared" si="65"/>
        <v>201.5999999999971</v>
      </c>
      <c r="B1010" s="2">
        <f t="shared" si="64"/>
        <v>35.160000000000011</v>
      </c>
      <c r="C1010" s="2">
        <f t="shared" si="63"/>
        <v>0</v>
      </c>
    </row>
    <row r="1011" spans="1:3" x14ac:dyDescent="0.25">
      <c r="A1011">
        <f t="shared" si="65"/>
        <v>201.79999999999708</v>
      </c>
      <c r="B1011" s="2">
        <f t="shared" si="64"/>
        <v>35.160000000000011</v>
      </c>
      <c r="C1011" s="2">
        <f t="shared" si="63"/>
        <v>0</v>
      </c>
    </row>
    <row r="1012" spans="1:3" x14ac:dyDescent="0.25">
      <c r="A1012">
        <f t="shared" si="65"/>
        <v>201.99999999999707</v>
      </c>
      <c r="B1012" s="2">
        <f t="shared" si="64"/>
        <v>35.160000000000011</v>
      </c>
      <c r="C1012" s="2">
        <f t="shared" si="63"/>
        <v>0</v>
      </c>
    </row>
    <row r="1013" spans="1:3" x14ac:dyDescent="0.25">
      <c r="A1013">
        <f t="shared" si="65"/>
        <v>202.19999999999706</v>
      </c>
      <c r="B1013" s="2">
        <f t="shared" si="64"/>
        <v>35.160000000000011</v>
      </c>
      <c r="C1013" s="2">
        <f t="shared" si="63"/>
        <v>0</v>
      </c>
    </row>
    <row r="1014" spans="1:3" x14ac:dyDescent="0.25">
      <c r="A1014">
        <f t="shared" si="65"/>
        <v>202.39999999999705</v>
      </c>
      <c r="B1014" s="2">
        <f t="shared" si="64"/>
        <v>35.160000000000011</v>
      </c>
      <c r="C1014" s="2">
        <f t="shared" si="63"/>
        <v>0</v>
      </c>
    </row>
    <row r="1015" spans="1:3" x14ac:dyDescent="0.25">
      <c r="A1015">
        <f t="shared" si="65"/>
        <v>202.59999999999704</v>
      </c>
      <c r="B1015" s="2">
        <f t="shared" si="64"/>
        <v>35.160000000000011</v>
      </c>
      <c r="C1015" s="2">
        <f t="shared" si="63"/>
        <v>0</v>
      </c>
    </row>
    <row r="1016" spans="1:3" x14ac:dyDescent="0.25">
      <c r="A1016">
        <f t="shared" si="65"/>
        <v>202.79999999999703</v>
      </c>
      <c r="B1016" s="2">
        <f t="shared" si="64"/>
        <v>35.160000000000011</v>
      </c>
      <c r="C1016" s="2">
        <f t="shared" si="63"/>
        <v>0</v>
      </c>
    </row>
    <row r="1017" spans="1:3" x14ac:dyDescent="0.25">
      <c r="A1017">
        <f t="shared" si="65"/>
        <v>202.99999999999702</v>
      </c>
      <c r="B1017" s="2">
        <f t="shared" si="64"/>
        <v>35.160000000000011</v>
      </c>
      <c r="C1017" s="2">
        <f t="shared" si="63"/>
        <v>0</v>
      </c>
    </row>
    <row r="1018" spans="1:3" x14ac:dyDescent="0.25">
      <c r="A1018">
        <f t="shared" si="65"/>
        <v>203.199999999997</v>
      </c>
      <c r="B1018" s="2">
        <f t="shared" si="64"/>
        <v>35.160000000000011</v>
      </c>
      <c r="C1018" s="2">
        <f t="shared" si="63"/>
        <v>0</v>
      </c>
    </row>
    <row r="1019" spans="1:3" x14ac:dyDescent="0.25">
      <c r="A1019">
        <f t="shared" si="65"/>
        <v>203.39999999999699</v>
      </c>
      <c r="B1019" s="2">
        <f t="shared" si="64"/>
        <v>35.160000000000011</v>
      </c>
      <c r="C1019" s="2">
        <f t="shared" si="63"/>
        <v>0</v>
      </c>
    </row>
    <row r="1020" spans="1:3" x14ac:dyDescent="0.25">
      <c r="A1020">
        <f t="shared" si="65"/>
        <v>203.59999999999698</v>
      </c>
      <c r="B1020" s="2">
        <f t="shared" si="64"/>
        <v>35.160000000000011</v>
      </c>
      <c r="C1020" s="2">
        <f t="shared" si="63"/>
        <v>0</v>
      </c>
    </row>
    <row r="1021" spans="1:3" x14ac:dyDescent="0.25">
      <c r="A1021">
        <f t="shared" si="65"/>
        <v>203.79999999999697</v>
      </c>
      <c r="B1021" s="2">
        <f t="shared" si="64"/>
        <v>35.160000000000011</v>
      </c>
      <c r="C1021" s="2">
        <f t="shared" si="63"/>
        <v>0</v>
      </c>
    </row>
    <row r="1022" spans="1:3" x14ac:dyDescent="0.25">
      <c r="A1022">
        <f t="shared" si="65"/>
        <v>203.99999999999696</v>
      </c>
      <c r="B1022" s="2">
        <f t="shared" si="64"/>
        <v>35.160000000000011</v>
      </c>
      <c r="C1022" s="2">
        <f t="shared" si="63"/>
        <v>0</v>
      </c>
    </row>
    <row r="1023" spans="1:3" x14ac:dyDescent="0.25">
      <c r="A1023">
        <f t="shared" si="65"/>
        <v>204.19999999999695</v>
      </c>
      <c r="B1023" s="2">
        <f t="shared" si="64"/>
        <v>35.160000000000011</v>
      </c>
      <c r="C1023" s="2">
        <f t="shared" si="63"/>
        <v>0</v>
      </c>
    </row>
    <row r="1024" spans="1:3" x14ac:dyDescent="0.25">
      <c r="A1024">
        <f t="shared" si="65"/>
        <v>204.39999999999694</v>
      </c>
      <c r="B1024" s="2">
        <f t="shared" si="64"/>
        <v>35.160000000000011</v>
      </c>
      <c r="C1024" s="2">
        <f t="shared" si="63"/>
        <v>0</v>
      </c>
    </row>
    <row r="1025" spans="1:3" x14ac:dyDescent="0.25">
      <c r="A1025">
        <f t="shared" si="65"/>
        <v>204.59999999999692</v>
      </c>
      <c r="B1025" s="2">
        <f t="shared" si="64"/>
        <v>35.160000000000011</v>
      </c>
      <c r="C1025" s="2">
        <f t="shared" si="63"/>
        <v>0</v>
      </c>
    </row>
    <row r="1026" spans="1:3" x14ac:dyDescent="0.25">
      <c r="A1026">
        <f t="shared" si="65"/>
        <v>204.79999999999691</v>
      </c>
      <c r="B1026" s="2">
        <f t="shared" si="64"/>
        <v>35.160000000000011</v>
      </c>
      <c r="C1026" s="2">
        <f t="shared" si="63"/>
        <v>0</v>
      </c>
    </row>
    <row r="1027" spans="1:3" x14ac:dyDescent="0.25">
      <c r="A1027">
        <f t="shared" si="65"/>
        <v>204.9999999999969</v>
      </c>
      <c r="B1027" s="2">
        <f t="shared" si="64"/>
        <v>35.160000000000011</v>
      </c>
      <c r="C1027" s="2">
        <f t="shared" ref="C1027:C1090" si="66">INDEX($K$3:$K$40,MATCH(A1027,$H$2:$H$40,1))</f>
        <v>0</v>
      </c>
    </row>
    <row r="1028" spans="1:3" x14ac:dyDescent="0.25">
      <c r="A1028">
        <f t="shared" si="65"/>
        <v>205.19999999999689</v>
      </c>
      <c r="B1028" s="2">
        <f t="shared" ref="B1028:B1091" si="67">B1027+C1027</f>
        <v>35.160000000000011</v>
      </c>
      <c r="C1028" s="2">
        <f t="shared" si="66"/>
        <v>0</v>
      </c>
    </row>
    <row r="1029" spans="1:3" x14ac:dyDescent="0.25">
      <c r="A1029">
        <f t="shared" si="65"/>
        <v>205.39999999999688</v>
      </c>
      <c r="B1029" s="2">
        <f t="shared" si="67"/>
        <v>35.160000000000011</v>
      </c>
      <c r="C1029" s="2">
        <f t="shared" si="66"/>
        <v>0</v>
      </c>
    </row>
    <row r="1030" spans="1:3" x14ac:dyDescent="0.25">
      <c r="A1030">
        <f t="shared" si="65"/>
        <v>205.59999999999687</v>
      </c>
      <c r="B1030" s="2">
        <f t="shared" si="67"/>
        <v>35.160000000000011</v>
      </c>
      <c r="C1030" s="2">
        <f t="shared" si="66"/>
        <v>0</v>
      </c>
    </row>
    <row r="1031" spans="1:3" x14ac:dyDescent="0.25">
      <c r="A1031">
        <f t="shared" si="65"/>
        <v>205.79999999999686</v>
      </c>
      <c r="B1031" s="2">
        <f t="shared" si="67"/>
        <v>35.160000000000011</v>
      </c>
      <c r="C1031" s="2">
        <f t="shared" si="66"/>
        <v>0</v>
      </c>
    </row>
    <row r="1032" spans="1:3" x14ac:dyDescent="0.25">
      <c r="A1032">
        <f t="shared" si="65"/>
        <v>205.99999999999685</v>
      </c>
      <c r="B1032" s="2">
        <f t="shared" si="67"/>
        <v>35.160000000000011</v>
      </c>
      <c r="C1032" s="2">
        <f t="shared" si="66"/>
        <v>0</v>
      </c>
    </row>
    <row r="1033" spans="1:3" x14ac:dyDescent="0.25">
      <c r="A1033">
        <f t="shared" si="65"/>
        <v>206.19999999999683</v>
      </c>
      <c r="B1033" s="2">
        <f t="shared" si="67"/>
        <v>35.160000000000011</v>
      </c>
      <c r="C1033" s="2">
        <f t="shared" si="66"/>
        <v>0</v>
      </c>
    </row>
    <row r="1034" spans="1:3" x14ac:dyDescent="0.25">
      <c r="A1034">
        <f t="shared" si="65"/>
        <v>206.39999999999682</v>
      </c>
      <c r="B1034" s="2">
        <f t="shared" si="67"/>
        <v>35.160000000000011</v>
      </c>
      <c r="C1034" s="2">
        <f t="shared" si="66"/>
        <v>0</v>
      </c>
    </row>
    <row r="1035" spans="1:3" x14ac:dyDescent="0.25">
      <c r="A1035">
        <f t="shared" si="65"/>
        <v>206.59999999999681</v>
      </c>
      <c r="B1035" s="2">
        <f t="shared" si="67"/>
        <v>35.160000000000011</v>
      </c>
      <c r="C1035" s="2">
        <f t="shared" si="66"/>
        <v>0</v>
      </c>
    </row>
    <row r="1036" spans="1:3" x14ac:dyDescent="0.25">
      <c r="A1036">
        <f t="shared" si="65"/>
        <v>206.7999999999968</v>
      </c>
      <c r="B1036" s="2">
        <f t="shared" si="67"/>
        <v>35.160000000000011</v>
      </c>
      <c r="C1036" s="2">
        <f t="shared" si="66"/>
        <v>0</v>
      </c>
    </row>
    <row r="1037" spans="1:3" x14ac:dyDescent="0.25">
      <c r="A1037">
        <f t="shared" si="65"/>
        <v>206.99999999999679</v>
      </c>
      <c r="B1037" s="2">
        <f t="shared" si="67"/>
        <v>35.160000000000011</v>
      </c>
      <c r="C1037" s="2">
        <f t="shared" si="66"/>
        <v>0</v>
      </c>
    </row>
    <row r="1038" spans="1:3" x14ac:dyDescent="0.25">
      <c r="A1038">
        <f t="shared" si="65"/>
        <v>207.19999999999678</v>
      </c>
      <c r="B1038" s="2">
        <f t="shared" si="67"/>
        <v>35.160000000000011</v>
      </c>
      <c r="C1038" s="2">
        <f t="shared" si="66"/>
        <v>0</v>
      </c>
    </row>
    <row r="1039" spans="1:3" x14ac:dyDescent="0.25">
      <c r="A1039">
        <f t="shared" si="65"/>
        <v>207.39999999999677</v>
      </c>
      <c r="B1039" s="2">
        <f t="shared" si="67"/>
        <v>35.160000000000011</v>
      </c>
      <c r="C1039" s="2">
        <f t="shared" si="66"/>
        <v>0</v>
      </c>
    </row>
    <row r="1040" spans="1:3" x14ac:dyDescent="0.25">
      <c r="A1040">
        <f t="shared" si="65"/>
        <v>207.59999999999675</v>
      </c>
      <c r="B1040" s="2">
        <f t="shared" si="67"/>
        <v>35.160000000000011</v>
      </c>
      <c r="C1040" s="2">
        <f t="shared" si="66"/>
        <v>0</v>
      </c>
    </row>
    <row r="1041" spans="1:3" x14ac:dyDescent="0.25">
      <c r="A1041">
        <f t="shared" si="65"/>
        <v>207.79999999999674</v>
      </c>
      <c r="B1041" s="2">
        <f t="shared" si="67"/>
        <v>35.160000000000011</v>
      </c>
      <c r="C1041" s="2">
        <f t="shared" si="66"/>
        <v>0</v>
      </c>
    </row>
    <row r="1042" spans="1:3" x14ac:dyDescent="0.25">
      <c r="A1042">
        <f t="shared" si="65"/>
        <v>207.99999999999673</v>
      </c>
      <c r="B1042" s="2">
        <f t="shared" si="67"/>
        <v>35.160000000000011</v>
      </c>
      <c r="C1042" s="2">
        <f t="shared" si="66"/>
        <v>0</v>
      </c>
    </row>
    <row r="1043" spans="1:3" x14ac:dyDescent="0.25">
      <c r="A1043">
        <f t="shared" si="65"/>
        <v>208.19999999999672</v>
      </c>
      <c r="B1043" s="2">
        <f t="shared" si="67"/>
        <v>35.160000000000011</v>
      </c>
      <c r="C1043" s="2">
        <f t="shared" si="66"/>
        <v>0</v>
      </c>
    </row>
    <row r="1044" spans="1:3" x14ac:dyDescent="0.25">
      <c r="A1044">
        <f t="shared" si="65"/>
        <v>208.39999999999671</v>
      </c>
      <c r="B1044" s="2">
        <f t="shared" si="67"/>
        <v>35.160000000000011</v>
      </c>
      <c r="C1044" s="2">
        <f t="shared" si="66"/>
        <v>0</v>
      </c>
    </row>
    <row r="1045" spans="1:3" x14ac:dyDescent="0.25">
      <c r="A1045">
        <f t="shared" si="65"/>
        <v>208.5999999999967</v>
      </c>
      <c r="B1045" s="2">
        <f t="shared" si="67"/>
        <v>35.160000000000011</v>
      </c>
      <c r="C1045" s="2">
        <f t="shared" si="66"/>
        <v>0</v>
      </c>
    </row>
    <row r="1046" spans="1:3" x14ac:dyDescent="0.25">
      <c r="A1046">
        <f t="shared" si="65"/>
        <v>208.79999999999669</v>
      </c>
      <c r="B1046" s="2">
        <f t="shared" si="67"/>
        <v>35.160000000000011</v>
      </c>
      <c r="C1046" s="2">
        <f t="shared" si="66"/>
        <v>0</v>
      </c>
    </row>
    <row r="1047" spans="1:3" x14ac:dyDescent="0.25">
      <c r="A1047">
        <f t="shared" si="65"/>
        <v>208.99999999999667</v>
      </c>
      <c r="B1047" s="2">
        <f t="shared" si="67"/>
        <v>35.160000000000011</v>
      </c>
      <c r="C1047" s="2">
        <f t="shared" si="66"/>
        <v>0</v>
      </c>
    </row>
    <row r="1048" spans="1:3" x14ac:dyDescent="0.25">
      <c r="A1048">
        <f t="shared" si="65"/>
        <v>209.19999999999666</v>
      </c>
      <c r="B1048" s="2">
        <f t="shared" si="67"/>
        <v>35.160000000000011</v>
      </c>
      <c r="C1048" s="2">
        <f t="shared" si="66"/>
        <v>0</v>
      </c>
    </row>
    <row r="1049" spans="1:3" x14ac:dyDescent="0.25">
      <c r="A1049">
        <f t="shared" si="65"/>
        <v>209.39999999999665</v>
      </c>
      <c r="B1049" s="2">
        <f t="shared" si="67"/>
        <v>35.160000000000011</v>
      </c>
      <c r="C1049" s="2">
        <f t="shared" si="66"/>
        <v>0</v>
      </c>
    </row>
    <row r="1050" spans="1:3" x14ac:dyDescent="0.25">
      <c r="A1050">
        <f t="shared" si="65"/>
        <v>209.59999999999664</v>
      </c>
      <c r="B1050" s="2">
        <f t="shared" si="67"/>
        <v>35.160000000000011</v>
      </c>
      <c r="C1050" s="2">
        <f t="shared" si="66"/>
        <v>0</v>
      </c>
    </row>
    <row r="1051" spans="1:3" x14ac:dyDescent="0.25">
      <c r="A1051">
        <f t="shared" si="65"/>
        <v>209.79999999999663</v>
      </c>
      <c r="B1051" s="2">
        <f t="shared" si="67"/>
        <v>35.160000000000011</v>
      </c>
      <c r="C1051" s="2">
        <f t="shared" si="66"/>
        <v>0</v>
      </c>
    </row>
    <row r="1052" spans="1:3" x14ac:dyDescent="0.25">
      <c r="A1052">
        <f t="shared" si="65"/>
        <v>209.99999999999662</v>
      </c>
      <c r="B1052" s="2">
        <f t="shared" si="67"/>
        <v>35.160000000000011</v>
      </c>
      <c r="C1052" s="2">
        <f t="shared" si="66"/>
        <v>0</v>
      </c>
    </row>
    <row r="1053" spans="1:3" x14ac:dyDescent="0.25">
      <c r="A1053">
        <f t="shared" si="65"/>
        <v>210.19999999999661</v>
      </c>
      <c r="B1053" s="2">
        <f t="shared" si="67"/>
        <v>35.160000000000011</v>
      </c>
      <c r="C1053" s="2">
        <f t="shared" si="66"/>
        <v>0.29333333333333322</v>
      </c>
    </row>
    <row r="1054" spans="1:3" x14ac:dyDescent="0.25">
      <c r="A1054">
        <f t="shared" si="65"/>
        <v>210.3999999999966</v>
      </c>
      <c r="B1054" s="2">
        <f t="shared" si="67"/>
        <v>35.453333333333347</v>
      </c>
      <c r="C1054" s="2">
        <f t="shared" si="66"/>
        <v>0.29333333333333322</v>
      </c>
    </row>
    <row r="1055" spans="1:3" x14ac:dyDescent="0.25">
      <c r="A1055">
        <f t="shared" si="65"/>
        <v>210.59999999999658</v>
      </c>
      <c r="B1055" s="2">
        <f t="shared" si="67"/>
        <v>35.746666666666684</v>
      </c>
      <c r="C1055" s="2">
        <f t="shared" si="66"/>
        <v>0.29333333333333322</v>
      </c>
    </row>
    <row r="1056" spans="1:3" x14ac:dyDescent="0.25">
      <c r="A1056">
        <f t="shared" si="65"/>
        <v>210.79999999999657</v>
      </c>
      <c r="B1056" s="2">
        <f t="shared" si="67"/>
        <v>36.04000000000002</v>
      </c>
      <c r="C1056" s="2">
        <f t="shared" si="66"/>
        <v>0.29333333333333322</v>
      </c>
    </row>
    <row r="1057" spans="1:3" x14ac:dyDescent="0.25">
      <c r="A1057">
        <f t="shared" si="65"/>
        <v>210.99999999999656</v>
      </c>
      <c r="B1057" s="2">
        <f t="shared" si="67"/>
        <v>36.333333333333357</v>
      </c>
      <c r="C1057" s="2">
        <f t="shared" si="66"/>
        <v>0.29333333333333322</v>
      </c>
    </row>
    <row r="1058" spans="1:3" x14ac:dyDescent="0.25">
      <c r="A1058">
        <f t="shared" si="65"/>
        <v>211.19999999999655</v>
      </c>
      <c r="B1058" s="2">
        <f t="shared" si="67"/>
        <v>36.626666666666694</v>
      </c>
      <c r="C1058" s="2">
        <f t="shared" si="66"/>
        <v>0.29333333333333322</v>
      </c>
    </row>
    <row r="1059" spans="1:3" x14ac:dyDescent="0.25">
      <c r="A1059">
        <f t="shared" si="65"/>
        <v>211.39999999999654</v>
      </c>
      <c r="B1059" s="2">
        <f t="shared" si="67"/>
        <v>36.92000000000003</v>
      </c>
      <c r="C1059" s="2">
        <f t="shared" si="66"/>
        <v>0.29333333333333322</v>
      </c>
    </row>
    <row r="1060" spans="1:3" x14ac:dyDescent="0.25">
      <c r="A1060">
        <f t="shared" si="65"/>
        <v>211.59999999999653</v>
      </c>
      <c r="B1060" s="2">
        <f t="shared" si="67"/>
        <v>37.213333333333367</v>
      </c>
      <c r="C1060" s="2">
        <f t="shared" si="66"/>
        <v>0.29333333333333322</v>
      </c>
    </row>
    <row r="1061" spans="1:3" x14ac:dyDescent="0.25">
      <c r="A1061">
        <f t="shared" si="65"/>
        <v>211.79999999999652</v>
      </c>
      <c r="B1061" s="2">
        <f t="shared" si="67"/>
        <v>37.506666666666703</v>
      </c>
      <c r="C1061" s="2">
        <f t="shared" si="66"/>
        <v>0.29333333333333322</v>
      </c>
    </row>
    <row r="1062" spans="1:3" x14ac:dyDescent="0.25">
      <c r="A1062">
        <f t="shared" si="65"/>
        <v>211.9999999999965</v>
      </c>
      <c r="B1062" s="2">
        <f t="shared" si="67"/>
        <v>37.80000000000004</v>
      </c>
      <c r="C1062" s="2">
        <f t="shared" si="66"/>
        <v>0.29333333333333322</v>
      </c>
    </row>
    <row r="1063" spans="1:3" x14ac:dyDescent="0.25">
      <c r="A1063">
        <f t="shared" si="65"/>
        <v>212.19999999999649</v>
      </c>
      <c r="B1063" s="2">
        <f t="shared" si="67"/>
        <v>38.093333333333376</v>
      </c>
      <c r="C1063" s="2">
        <f t="shared" si="66"/>
        <v>0.29333333333333322</v>
      </c>
    </row>
    <row r="1064" spans="1:3" x14ac:dyDescent="0.25">
      <c r="A1064">
        <f t="shared" si="65"/>
        <v>212.39999999999648</v>
      </c>
      <c r="B1064" s="2">
        <f t="shared" si="67"/>
        <v>38.386666666666713</v>
      </c>
      <c r="C1064" s="2">
        <f t="shared" si="66"/>
        <v>0.29333333333333322</v>
      </c>
    </row>
    <row r="1065" spans="1:3" x14ac:dyDescent="0.25">
      <c r="A1065">
        <f t="shared" si="65"/>
        <v>212.59999999999647</v>
      </c>
      <c r="B1065" s="2">
        <f t="shared" si="67"/>
        <v>38.680000000000049</v>
      </c>
      <c r="C1065" s="2">
        <f t="shared" si="66"/>
        <v>0.29333333333333322</v>
      </c>
    </row>
    <row r="1066" spans="1:3" x14ac:dyDescent="0.25">
      <c r="A1066">
        <f t="shared" si="65"/>
        <v>212.79999999999646</v>
      </c>
      <c r="B1066" s="2">
        <f t="shared" si="67"/>
        <v>38.973333333333386</v>
      </c>
      <c r="C1066" s="2">
        <f t="shared" si="66"/>
        <v>0.29333333333333322</v>
      </c>
    </row>
    <row r="1067" spans="1:3" x14ac:dyDescent="0.25">
      <c r="A1067">
        <f t="shared" si="65"/>
        <v>212.99999999999645</v>
      </c>
      <c r="B1067" s="2">
        <f t="shared" si="67"/>
        <v>39.266666666666723</v>
      </c>
      <c r="C1067" s="2">
        <f t="shared" si="66"/>
        <v>0.29333333333333322</v>
      </c>
    </row>
    <row r="1068" spans="1:3" x14ac:dyDescent="0.25">
      <c r="A1068">
        <f t="shared" si="65"/>
        <v>213.19999999999644</v>
      </c>
      <c r="B1068" s="2">
        <f t="shared" si="67"/>
        <v>39.560000000000059</v>
      </c>
      <c r="C1068" s="2">
        <f t="shared" si="66"/>
        <v>0.29333333333333322</v>
      </c>
    </row>
    <row r="1069" spans="1:3" x14ac:dyDescent="0.25">
      <c r="A1069">
        <f t="shared" si="65"/>
        <v>213.39999999999642</v>
      </c>
      <c r="B1069" s="2">
        <f t="shared" si="67"/>
        <v>39.853333333333396</v>
      </c>
      <c r="C1069" s="2">
        <f t="shared" si="66"/>
        <v>0.29333333333333322</v>
      </c>
    </row>
    <row r="1070" spans="1:3" x14ac:dyDescent="0.25">
      <c r="A1070">
        <f t="shared" si="65"/>
        <v>213.59999999999641</v>
      </c>
      <c r="B1070" s="2">
        <f t="shared" si="67"/>
        <v>40.146666666666732</v>
      </c>
      <c r="C1070" s="2">
        <f t="shared" si="66"/>
        <v>0.29333333333333322</v>
      </c>
    </row>
    <row r="1071" spans="1:3" x14ac:dyDescent="0.25">
      <c r="A1071">
        <f t="shared" ref="A1071:A1134" si="68">A1070+0.2</f>
        <v>213.7999999999964</v>
      </c>
      <c r="B1071" s="2">
        <f t="shared" si="67"/>
        <v>40.440000000000069</v>
      </c>
      <c r="C1071" s="2">
        <f t="shared" si="66"/>
        <v>0.29333333333333322</v>
      </c>
    </row>
    <row r="1072" spans="1:3" x14ac:dyDescent="0.25">
      <c r="A1072">
        <f t="shared" si="68"/>
        <v>213.99999999999639</v>
      </c>
      <c r="B1072" s="2">
        <f t="shared" si="67"/>
        <v>40.733333333333405</v>
      </c>
      <c r="C1072" s="2">
        <f t="shared" si="66"/>
        <v>0.29333333333333322</v>
      </c>
    </row>
    <row r="1073" spans="1:3" x14ac:dyDescent="0.25">
      <c r="A1073">
        <f t="shared" si="68"/>
        <v>214.19999999999638</v>
      </c>
      <c r="B1073" s="2">
        <f t="shared" si="67"/>
        <v>41.026666666666742</v>
      </c>
      <c r="C1073" s="2">
        <f t="shared" si="66"/>
        <v>0.29333333333333322</v>
      </c>
    </row>
    <row r="1074" spans="1:3" x14ac:dyDescent="0.25">
      <c r="A1074">
        <f t="shared" si="68"/>
        <v>214.39999999999637</v>
      </c>
      <c r="B1074" s="2">
        <f t="shared" si="67"/>
        <v>41.320000000000078</v>
      </c>
      <c r="C1074" s="2">
        <f t="shared" si="66"/>
        <v>0.29333333333333322</v>
      </c>
    </row>
    <row r="1075" spans="1:3" x14ac:dyDescent="0.25">
      <c r="A1075">
        <f t="shared" si="68"/>
        <v>214.59999999999636</v>
      </c>
      <c r="B1075" s="2">
        <f t="shared" si="67"/>
        <v>41.613333333333415</v>
      </c>
      <c r="C1075" s="2">
        <f t="shared" si="66"/>
        <v>0.29333333333333322</v>
      </c>
    </row>
    <row r="1076" spans="1:3" x14ac:dyDescent="0.25">
      <c r="A1076">
        <f t="shared" si="68"/>
        <v>214.79999999999634</v>
      </c>
      <c r="B1076" s="2">
        <f t="shared" si="67"/>
        <v>41.906666666666752</v>
      </c>
      <c r="C1076" s="2">
        <f t="shared" si="66"/>
        <v>0.29333333333333322</v>
      </c>
    </row>
    <row r="1077" spans="1:3" x14ac:dyDescent="0.25">
      <c r="A1077">
        <f t="shared" si="68"/>
        <v>214.99999999999633</v>
      </c>
      <c r="B1077" s="2">
        <f t="shared" si="67"/>
        <v>42.200000000000088</v>
      </c>
      <c r="C1077" s="2">
        <f t="shared" si="66"/>
        <v>0.29333333333333322</v>
      </c>
    </row>
    <row r="1078" spans="1:3" x14ac:dyDescent="0.25">
      <c r="A1078">
        <f t="shared" si="68"/>
        <v>215.19999999999632</v>
      </c>
      <c r="B1078" s="2">
        <f t="shared" si="67"/>
        <v>42.493333333333425</v>
      </c>
      <c r="C1078" s="2">
        <f t="shared" si="66"/>
        <v>0.29333333333333322</v>
      </c>
    </row>
    <row r="1079" spans="1:3" x14ac:dyDescent="0.25">
      <c r="A1079">
        <f t="shared" si="68"/>
        <v>215.39999999999631</v>
      </c>
      <c r="B1079" s="2">
        <f t="shared" si="67"/>
        <v>42.786666666666761</v>
      </c>
      <c r="C1079" s="2">
        <f t="shared" si="66"/>
        <v>0.29333333333333322</v>
      </c>
    </row>
    <row r="1080" spans="1:3" x14ac:dyDescent="0.25">
      <c r="A1080">
        <f t="shared" si="68"/>
        <v>215.5999999999963</v>
      </c>
      <c r="B1080" s="2">
        <f t="shared" si="67"/>
        <v>43.080000000000098</v>
      </c>
      <c r="C1080" s="2">
        <f t="shared" si="66"/>
        <v>0.29333333333333322</v>
      </c>
    </row>
    <row r="1081" spans="1:3" x14ac:dyDescent="0.25">
      <c r="A1081">
        <f t="shared" si="68"/>
        <v>215.79999999999629</v>
      </c>
      <c r="B1081" s="2">
        <f t="shared" si="67"/>
        <v>43.373333333333434</v>
      </c>
      <c r="C1081" s="2">
        <f t="shared" si="66"/>
        <v>0.29333333333333322</v>
      </c>
    </row>
    <row r="1082" spans="1:3" x14ac:dyDescent="0.25">
      <c r="A1082">
        <f t="shared" si="68"/>
        <v>215.99999999999628</v>
      </c>
      <c r="B1082" s="2">
        <f t="shared" si="67"/>
        <v>43.666666666666771</v>
      </c>
      <c r="C1082" s="2">
        <f t="shared" si="66"/>
        <v>0.29333333333333322</v>
      </c>
    </row>
    <row r="1083" spans="1:3" x14ac:dyDescent="0.25">
      <c r="A1083">
        <f t="shared" si="68"/>
        <v>216.19999999999627</v>
      </c>
      <c r="B1083" s="2">
        <f t="shared" si="67"/>
        <v>43.960000000000107</v>
      </c>
      <c r="C1083" s="2">
        <f t="shared" si="66"/>
        <v>0.29333333333333322</v>
      </c>
    </row>
    <row r="1084" spans="1:3" x14ac:dyDescent="0.25">
      <c r="A1084">
        <f t="shared" si="68"/>
        <v>216.39999999999625</v>
      </c>
      <c r="B1084" s="2">
        <f t="shared" si="67"/>
        <v>44.253333333333444</v>
      </c>
      <c r="C1084" s="2">
        <f t="shared" si="66"/>
        <v>0.29333333333333322</v>
      </c>
    </row>
    <row r="1085" spans="1:3" x14ac:dyDescent="0.25">
      <c r="A1085">
        <f t="shared" si="68"/>
        <v>216.59999999999624</v>
      </c>
      <c r="B1085" s="2">
        <f t="shared" si="67"/>
        <v>44.546666666666781</v>
      </c>
      <c r="C1085" s="2">
        <f t="shared" si="66"/>
        <v>0.29333333333333322</v>
      </c>
    </row>
    <row r="1086" spans="1:3" x14ac:dyDescent="0.25">
      <c r="A1086">
        <f t="shared" si="68"/>
        <v>216.79999999999623</v>
      </c>
      <c r="B1086" s="2">
        <f t="shared" si="67"/>
        <v>44.840000000000117</v>
      </c>
      <c r="C1086" s="2">
        <f t="shared" si="66"/>
        <v>0.29333333333333322</v>
      </c>
    </row>
    <row r="1087" spans="1:3" x14ac:dyDescent="0.25">
      <c r="A1087">
        <f t="shared" si="68"/>
        <v>216.99999999999622</v>
      </c>
      <c r="B1087" s="2">
        <f t="shared" si="67"/>
        <v>45.133333333333454</v>
      </c>
      <c r="C1087" s="2">
        <f t="shared" si="66"/>
        <v>0.29333333333333322</v>
      </c>
    </row>
    <row r="1088" spans="1:3" x14ac:dyDescent="0.25">
      <c r="A1088">
        <f t="shared" si="68"/>
        <v>217.19999999999621</v>
      </c>
      <c r="B1088" s="2">
        <f t="shared" si="67"/>
        <v>45.42666666666679</v>
      </c>
      <c r="C1088" s="2">
        <f t="shared" si="66"/>
        <v>0.29333333333333322</v>
      </c>
    </row>
    <row r="1089" spans="1:3" x14ac:dyDescent="0.25">
      <c r="A1089">
        <f t="shared" si="68"/>
        <v>217.3999999999962</v>
      </c>
      <c r="B1089" s="2">
        <f t="shared" si="67"/>
        <v>45.720000000000127</v>
      </c>
      <c r="C1089" s="2">
        <f t="shared" si="66"/>
        <v>0.29333333333333322</v>
      </c>
    </row>
    <row r="1090" spans="1:3" x14ac:dyDescent="0.25">
      <c r="A1090">
        <f t="shared" si="68"/>
        <v>217.59999999999619</v>
      </c>
      <c r="B1090" s="2">
        <f t="shared" si="67"/>
        <v>46.013333333333463</v>
      </c>
      <c r="C1090" s="2">
        <f t="shared" si="66"/>
        <v>0.29333333333333322</v>
      </c>
    </row>
    <row r="1091" spans="1:3" x14ac:dyDescent="0.25">
      <c r="A1091">
        <f t="shared" si="68"/>
        <v>217.79999999999617</v>
      </c>
      <c r="B1091" s="2">
        <f t="shared" si="67"/>
        <v>46.3066666666668</v>
      </c>
      <c r="C1091" s="2">
        <f t="shared" ref="C1091:C1154" si="69">INDEX($K$3:$K$40,MATCH(A1091,$H$2:$H$40,1))</f>
        <v>0.29333333333333322</v>
      </c>
    </row>
    <row r="1092" spans="1:3" x14ac:dyDescent="0.25">
      <c r="A1092">
        <f t="shared" si="68"/>
        <v>217.99999999999616</v>
      </c>
      <c r="B1092" s="2">
        <f t="shared" ref="B1092:B1155" si="70">B1091+C1091</f>
        <v>46.600000000000136</v>
      </c>
      <c r="C1092" s="2">
        <f t="shared" si="69"/>
        <v>0.29333333333333322</v>
      </c>
    </row>
    <row r="1093" spans="1:3" x14ac:dyDescent="0.25">
      <c r="A1093">
        <f t="shared" si="68"/>
        <v>218.19999999999615</v>
      </c>
      <c r="B1093" s="2">
        <f t="shared" si="70"/>
        <v>46.893333333333473</v>
      </c>
      <c r="C1093" s="2">
        <f t="shared" si="69"/>
        <v>0.29333333333333322</v>
      </c>
    </row>
    <row r="1094" spans="1:3" x14ac:dyDescent="0.25">
      <c r="A1094">
        <f t="shared" si="68"/>
        <v>218.39999999999614</v>
      </c>
      <c r="B1094" s="2">
        <f t="shared" si="70"/>
        <v>47.18666666666681</v>
      </c>
      <c r="C1094" s="2">
        <f t="shared" si="69"/>
        <v>0.29333333333333322</v>
      </c>
    </row>
    <row r="1095" spans="1:3" x14ac:dyDescent="0.25">
      <c r="A1095">
        <f t="shared" si="68"/>
        <v>218.59999999999613</v>
      </c>
      <c r="B1095" s="2">
        <f t="shared" si="70"/>
        <v>47.480000000000146</v>
      </c>
      <c r="C1095" s="2">
        <f t="shared" si="69"/>
        <v>0.29333333333333322</v>
      </c>
    </row>
    <row r="1096" spans="1:3" x14ac:dyDescent="0.25">
      <c r="A1096">
        <f t="shared" si="68"/>
        <v>218.79999999999612</v>
      </c>
      <c r="B1096" s="2">
        <f t="shared" si="70"/>
        <v>47.773333333333483</v>
      </c>
      <c r="C1096" s="2">
        <f t="shared" si="69"/>
        <v>0.29333333333333322</v>
      </c>
    </row>
    <row r="1097" spans="1:3" x14ac:dyDescent="0.25">
      <c r="A1097">
        <f t="shared" si="68"/>
        <v>218.99999999999611</v>
      </c>
      <c r="B1097" s="2">
        <f t="shared" si="70"/>
        <v>48.066666666666819</v>
      </c>
      <c r="C1097" s="2">
        <f t="shared" si="69"/>
        <v>0.29333333333333322</v>
      </c>
    </row>
    <row r="1098" spans="1:3" x14ac:dyDescent="0.25">
      <c r="A1098">
        <f t="shared" si="68"/>
        <v>219.19999999999609</v>
      </c>
      <c r="B1098" s="2">
        <f t="shared" si="70"/>
        <v>48.360000000000156</v>
      </c>
      <c r="C1098" s="2">
        <f t="shared" si="69"/>
        <v>0.29333333333333322</v>
      </c>
    </row>
    <row r="1099" spans="1:3" x14ac:dyDescent="0.25">
      <c r="A1099">
        <f t="shared" si="68"/>
        <v>219.39999999999608</v>
      </c>
      <c r="B1099" s="2">
        <f t="shared" si="70"/>
        <v>48.653333333333492</v>
      </c>
      <c r="C1099" s="2">
        <f t="shared" si="69"/>
        <v>0.29333333333333322</v>
      </c>
    </row>
    <row r="1100" spans="1:3" x14ac:dyDescent="0.25">
      <c r="A1100">
        <f t="shared" si="68"/>
        <v>219.59999999999607</v>
      </c>
      <c r="B1100" s="2">
        <f t="shared" si="70"/>
        <v>48.946666666666829</v>
      </c>
      <c r="C1100" s="2">
        <f t="shared" si="69"/>
        <v>0.29333333333333322</v>
      </c>
    </row>
    <row r="1101" spans="1:3" x14ac:dyDescent="0.25">
      <c r="A1101">
        <f t="shared" si="68"/>
        <v>219.79999999999606</v>
      </c>
      <c r="B1101" s="2">
        <f t="shared" si="70"/>
        <v>49.240000000000165</v>
      </c>
      <c r="C1101" s="2">
        <f t="shared" si="69"/>
        <v>0.29333333333333322</v>
      </c>
    </row>
    <row r="1102" spans="1:3" x14ac:dyDescent="0.25">
      <c r="A1102">
        <f t="shared" si="68"/>
        <v>219.99999999999605</v>
      </c>
      <c r="B1102" s="2">
        <f t="shared" si="70"/>
        <v>49.533333333333502</v>
      </c>
      <c r="C1102" s="2">
        <f t="shared" si="69"/>
        <v>0.29333333333333322</v>
      </c>
    </row>
    <row r="1103" spans="1:3" x14ac:dyDescent="0.25">
      <c r="A1103">
        <f t="shared" si="68"/>
        <v>220.19999999999604</v>
      </c>
      <c r="B1103" s="2">
        <f t="shared" si="70"/>
        <v>49.826666666666839</v>
      </c>
      <c r="C1103" s="2">
        <f t="shared" si="69"/>
        <v>0.29333333333333322</v>
      </c>
    </row>
    <row r="1104" spans="1:3" x14ac:dyDescent="0.25">
      <c r="A1104">
        <f t="shared" si="68"/>
        <v>220.39999999999603</v>
      </c>
      <c r="B1104" s="2">
        <f t="shared" si="70"/>
        <v>50.120000000000175</v>
      </c>
      <c r="C1104" s="2">
        <f t="shared" si="69"/>
        <v>0.29333333333333322</v>
      </c>
    </row>
    <row r="1105" spans="1:3" x14ac:dyDescent="0.25">
      <c r="A1105">
        <f t="shared" si="68"/>
        <v>220.59999999999602</v>
      </c>
      <c r="B1105" s="2">
        <f t="shared" si="70"/>
        <v>50.413333333333512</v>
      </c>
      <c r="C1105" s="2">
        <f t="shared" si="69"/>
        <v>0.29333333333333322</v>
      </c>
    </row>
    <row r="1106" spans="1:3" x14ac:dyDescent="0.25">
      <c r="A1106">
        <f t="shared" si="68"/>
        <v>220.799999999996</v>
      </c>
      <c r="B1106" s="2">
        <f t="shared" si="70"/>
        <v>50.706666666666848</v>
      </c>
      <c r="C1106" s="2">
        <f t="shared" si="69"/>
        <v>0.29333333333333322</v>
      </c>
    </row>
    <row r="1107" spans="1:3" x14ac:dyDescent="0.25">
      <c r="A1107">
        <f t="shared" si="68"/>
        <v>220.99999999999599</v>
      </c>
      <c r="B1107" s="2">
        <f t="shared" si="70"/>
        <v>51.000000000000185</v>
      </c>
      <c r="C1107" s="2">
        <f t="shared" si="69"/>
        <v>0.29333333333333322</v>
      </c>
    </row>
    <row r="1108" spans="1:3" x14ac:dyDescent="0.25">
      <c r="A1108">
        <f t="shared" si="68"/>
        <v>221.19999999999598</v>
      </c>
      <c r="B1108" s="2">
        <f t="shared" si="70"/>
        <v>51.293333333333521</v>
      </c>
      <c r="C1108" s="2">
        <f t="shared" si="69"/>
        <v>0.29333333333333322</v>
      </c>
    </row>
    <row r="1109" spans="1:3" x14ac:dyDescent="0.25">
      <c r="A1109">
        <f t="shared" si="68"/>
        <v>221.39999999999597</v>
      </c>
      <c r="B1109" s="2">
        <f t="shared" si="70"/>
        <v>51.586666666666858</v>
      </c>
      <c r="C1109" s="2">
        <f t="shared" si="69"/>
        <v>0.29333333333333322</v>
      </c>
    </row>
    <row r="1110" spans="1:3" x14ac:dyDescent="0.25">
      <c r="A1110">
        <f t="shared" si="68"/>
        <v>221.59999999999596</v>
      </c>
      <c r="B1110" s="2">
        <f t="shared" si="70"/>
        <v>51.880000000000194</v>
      </c>
      <c r="C1110" s="2">
        <f t="shared" si="69"/>
        <v>0.29333333333333322</v>
      </c>
    </row>
    <row r="1111" spans="1:3" x14ac:dyDescent="0.25">
      <c r="A1111">
        <f t="shared" si="68"/>
        <v>221.79999999999595</v>
      </c>
      <c r="B1111" s="2">
        <f t="shared" si="70"/>
        <v>52.173333333333531</v>
      </c>
      <c r="C1111" s="2">
        <f t="shared" si="69"/>
        <v>0.29333333333333322</v>
      </c>
    </row>
    <row r="1112" spans="1:3" x14ac:dyDescent="0.25">
      <c r="A1112">
        <f t="shared" si="68"/>
        <v>221.99999999999594</v>
      </c>
      <c r="B1112" s="2">
        <f t="shared" si="70"/>
        <v>52.466666666666868</v>
      </c>
      <c r="C1112" s="2">
        <f t="shared" si="69"/>
        <v>0.29333333333333322</v>
      </c>
    </row>
    <row r="1113" spans="1:3" x14ac:dyDescent="0.25">
      <c r="A1113">
        <f t="shared" si="68"/>
        <v>222.19999999999592</v>
      </c>
      <c r="B1113" s="2">
        <f t="shared" si="70"/>
        <v>52.760000000000204</v>
      </c>
      <c r="C1113" s="2">
        <f t="shared" si="69"/>
        <v>0.29333333333333322</v>
      </c>
    </row>
    <row r="1114" spans="1:3" x14ac:dyDescent="0.25">
      <c r="A1114">
        <f t="shared" si="68"/>
        <v>222.39999999999591</v>
      </c>
      <c r="B1114" s="2">
        <f t="shared" si="70"/>
        <v>53.053333333333541</v>
      </c>
      <c r="C1114" s="2">
        <f t="shared" si="69"/>
        <v>0.29333333333333322</v>
      </c>
    </row>
    <row r="1115" spans="1:3" x14ac:dyDescent="0.25">
      <c r="A1115">
        <f t="shared" si="68"/>
        <v>222.5999999999959</v>
      </c>
      <c r="B1115" s="2">
        <f t="shared" si="70"/>
        <v>53.346666666666877</v>
      </c>
      <c r="C1115" s="2">
        <f t="shared" si="69"/>
        <v>0.29333333333333322</v>
      </c>
    </row>
    <row r="1116" spans="1:3" x14ac:dyDescent="0.25">
      <c r="A1116">
        <f t="shared" si="68"/>
        <v>222.79999999999589</v>
      </c>
      <c r="B1116" s="2">
        <f t="shared" si="70"/>
        <v>53.640000000000214</v>
      </c>
      <c r="C1116" s="2">
        <f t="shared" si="69"/>
        <v>0.29333333333333322</v>
      </c>
    </row>
    <row r="1117" spans="1:3" x14ac:dyDescent="0.25">
      <c r="A1117">
        <f t="shared" si="68"/>
        <v>222.99999999999588</v>
      </c>
      <c r="B1117" s="2">
        <f t="shared" si="70"/>
        <v>53.93333333333355</v>
      </c>
      <c r="C1117" s="2">
        <f t="shared" si="69"/>
        <v>0.29333333333333322</v>
      </c>
    </row>
    <row r="1118" spans="1:3" x14ac:dyDescent="0.25">
      <c r="A1118">
        <f t="shared" si="68"/>
        <v>223.19999999999587</v>
      </c>
      <c r="B1118" s="2">
        <f t="shared" si="70"/>
        <v>54.226666666666887</v>
      </c>
      <c r="C1118" s="2">
        <f t="shared" si="69"/>
        <v>0.29333333333333322</v>
      </c>
    </row>
    <row r="1119" spans="1:3" x14ac:dyDescent="0.25">
      <c r="A1119">
        <f t="shared" si="68"/>
        <v>223.39999999999586</v>
      </c>
      <c r="B1119" s="2">
        <f t="shared" si="70"/>
        <v>54.520000000000223</v>
      </c>
      <c r="C1119" s="2">
        <f t="shared" si="69"/>
        <v>0.29333333333333322</v>
      </c>
    </row>
    <row r="1120" spans="1:3" x14ac:dyDescent="0.25">
      <c r="A1120">
        <f t="shared" si="68"/>
        <v>223.59999999999584</v>
      </c>
      <c r="B1120" s="2">
        <f t="shared" si="70"/>
        <v>54.81333333333356</v>
      </c>
      <c r="C1120" s="2">
        <f t="shared" si="69"/>
        <v>0.29333333333333322</v>
      </c>
    </row>
    <row r="1121" spans="1:3" x14ac:dyDescent="0.25">
      <c r="A1121">
        <f t="shared" si="68"/>
        <v>223.79999999999583</v>
      </c>
      <c r="B1121" s="2">
        <f t="shared" si="70"/>
        <v>55.106666666666897</v>
      </c>
      <c r="C1121" s="2">
        <f t="shared" si="69"/>
        <v>0.29333333333333322</v>
      </c>
    </row>
    <row r="1122" spans="1:3" x14ac:dyDescent="0.25">
      <c r="A1122">
        <f t="shared" si="68"/>
        <v>223.99999999999582</v>
      </c>
      <c r="B1122" s="2">
        <f t="shared" si="70"/>
        <v>55.400000000000233</v>
      </c>
      <c r="C1122" s="2">
        <f t="shared" si="69"/>
        <v>0.29333333333333322</v>
      </c>
    </row>
    <row r="1123" spans="1:3" x14ac:dyDescent="0.25">
      <c r="A1123">
        <f t="shared" si="68"/>
        <v>224.19999999999581</v>
      </c>
      <c r="B1123" s="2">
        <f t="shared" si="70"/>
        <v>55.69333333333357</v>
      </c>
      <c r="C1123" s="2">
        <f t="shared" si="69"/>
        <v>0.29333333333333322</v>
      </c>
    </row>
    <row r="1124" spans="1:3" x14ac:dyDescent="0.25">
      <c r="A1124">
        <f t="shared" si="68"/>
        <v>224.3999999999958</v>
      </c>
      <c r="B1124" s="2">
        <f t="shared" si="70"/>
        <v>55.986666666666906</v>
      </c>
      <c r="C1124" s="2">
        <f t="shared" si="69"/>
        <v>0.29333333333333322</v>
      </c>
    </row>
    <row r="1125" spans="1:3" x14ac:dyDescent="0.25">
      <c r="A1125">
        <f t="shared" si="68"/>
        <v>224.59999999999579</v>
      </c>
      <c r="B1125" s="2">
        <f t="shared" si="70"/>
        <v>56.280000000000243</v>
      </c>
      <c r="C1125" s="2">
        <f t="shared" si="69"/>
        <v>0.29333333333333322</v>
      </c>
    </row>
    <row r="1126" spans="1:3" x14ac:dyDescent="0.25">
      <c r="A1126">
        <f t="shared" si="68"/>
        <v>224.79999999999578</v>
      </c>
      <c r="B1126" s="2">
        <f t="shared" si="70"/>
        <v>56.573333333333579</v>
      </c>
      <c r="C1126" s="2">
        <f t="shared" si="69"/>
        <v>0.29333333333333322</v>
      </c>
    </row>
    <row r="1127" spans="1:3" x14ac:dyDescent="0.25">
      <c r="A1127">
        <f t="shared" si="68"/>
        <v>224.99999999999577</v>
      </c>
      <c r="B1127" s="2">
        <f t="shared" si="70"/>
        <v>56.866666666666916</v>
      </c>
      <c r="C1127" s="2">
        <f t="shared" si="69"/>
        <v>0.29333333333333322</v>
      </c>
    </row>
    <row r="1128" spans="1:3" x14ac:dyDescent="0.25">
      <c r="A1128">
        <f t="shared" si="68"/>
        <v>225.19999999999575</v>
      </c>
      <c r="B1128" s="2">
        <f t="shared" si="70"/>
        <v>57.160000000000252</v>
      </c>
      <c r="C1128" s="2">
        <f t="shared" si="69"/>
        <v>0</v>
      </c>
    </row>
    <row r="1129" spans="1:3" x14ac:dyDescent="0.25">
      <c r="A1129">
        <f t="shared" si="68"/>
        <v>225.39999999999574</v>
      </c>
      <c r="B1129" s="2">
        <f t="shared" si="70"/>
        <v>57.160000000000252</v>
      </c>
      <c r="C1129" s="2">
        <f t="shared" si="69"/>
        <v>0</v>
      </c>
    </row>
    <row r="1130" spans="1:3" x14ac:dyDescent="0.25">
      <c r="A1130">
        <f t="shared" si="68"/>
        <v>225.59999999999573</v>
      </c>
      <c r="B1130" s="2">
        <f t="shared" si="70"/>
        <v>57.160000000000252</v>
      </c>
      <c r="C1130" s="2">
        <f t="shared" si="69"/>
        <v>0</v>
      </c>
    </row>
    <row r="1131" spans="1:3" x14ac:dyDescent="0.25">
      <c r="A1131">
        <f t="shared" si="68"/>
        <v>225.79999999999572</v>
      </c>
      <c r="B1131" s="2">
        <f t="shared" si="70"/>
        <v>57.160000000000252</v>
      </c>
      <c r="C1131" s="2">
        <f t="shared" si="69"/>
        <v>0</v>
      </c>
    </row>
    <row r="1132" spans="1:3" x14ac:dyDescent="0.25">
      <c r="A1132">
        <f t="shared" si="68"/>
        <v>225.99999999999571</v>
      </c>
      <c r="B1132" s="2">
        <f t="shared" si="70"/>
        <v>57.160000000000252</v>
      </c>
      <c r="C1132" s="2">
        <f t="shared" si="69"/>
        <v>0</v>
      </c>
    </row>
    <row r="1133" spans="1:3" x14ac:dyDescent="0.25">
      <c r="A1133">
        <f t="shared" si="68"/>
        <v>226.1999999999957</v>
      </c>
      <c r="B1133" s="2">
        <f t="shared" si="70"/>
        <v>57.160000000000252</v>
      </c>
      <c r="C1133" s="2">
        <f t="shared" si="69"/>
        <v>0</v>
      </c>
    </row>
    <row r="1134" spans="1:3" x14ac:dyDescent="0.25">
      <c r="A1134">
        <f t="shared" si="68"/>
        <v>226.39999999999569</v>
      </c>
      <c r="B1134" s="2">
        <f t="shared" si="70"/>
        <v>57.160000000000252</v>
      </c>
      <c r="C1134" s="2">
        <f t="shared" si="69"/>
        <v>0</v>
      </c>
    </row>
    <row r="1135" spans="1:3" x14ac:dyDescent="0.25">
      <c r="A1135">
        <f t="shared" ref="A1135:A1198" si="71">A1134+0.2</f>
        <v>226.59999999999567</v>
      </c>
      <c r="B1135" s="2">
        <f t="shared" si="70"/>
        <v>57.160000000000252</v>
      </c>
      <c r="C1135" s="2">
        <f t="shared" si="69"/>
        <v>0</v>
      </c>
    </row>
    <row r="1136" spans="1:3" x14ac:dyDescent="0.25">
      <c r="A1136">
        <f t="shared" si="71"/>
        <v>226.79999999999566</v>
      </c>
      <c r="B1136" s="2">
        <f t="shared" si="70"/>
        <v>57.160000000000252</v>
      </c>
      <c r="C1136" s="2">
        <f t="shared" si="69"/>
        <v>0</v>
      </c>
    </row>
    <row r="1137" spans="1:3" x14ac:dyDescent="0.25">
      <c r="A1137">
        <f t="shared" si="71"/>
        <v>226.99999999999565</v>
      </c>
      <c r="B1137" s="2">
        <f t="shared" si="70"/>
        <v>57.160000000000252</v>
      </c>
      <c r="C1137" s="2">
        <f t="shared" si="69"/>
        <v>0</v>
      </c>
    </row>
    <row r="1138" spans="1:3" x14ac:dyDescent="0.25">
      <c r="A1138">
        <f t="shared" si="71"/>
        <v>227.19999999999564</v>
      </c>
      <c r="B1138" s="2">
        <f t="shared" si="70"/>
        <v>57.160000000000252</v>
      </c>
      <c r="C1138" s="2">
        <f t="shared" si="69"/>
        <v>0</v>
      </c>
    </row>
    <row r="1139" spans="1:3" x14ac:dyDescent="0.25">
      <c r="A1139">
        <f t="shared" si="71"/>
        <v>227.39999999999563</v>
      </c>
      <c r="B1139" s="2">
        <f t="shared" si="70"/>
        <v>57.160000000000252</v>
      </c>
      <c r="C1139" s="2">
        <f t="shared" si="69"/>
        <v>0</v>
      </c>
    </row>
    <row r="1140" spans="1:3" x14ac:dyDescent="0.25">
      <c r="A1140">
        <f t="shared" si="71"/>
        <v>227.59999999999562</v>
      </c>
      <c r="B1140" s="2">
        <f t="shared" si="70"/>
        <v>57.160000000000252</v>
      </c>
      <c r="C1140" s="2">
        <f t="shared" si="69"/>
        <v>0</v>
      </c>
    </row>
    <row r="1141" spans="1:3" x14ac:dyDescent="0.25">
      <c r="A1141">
        <f t="shared" si="71"/>
        <v>227.79999999999561</v>
      </c>
      <c r="B1141" s="2">
        <f t="shared" si="70"/>
        <v>57.160000000000252</v>
      </c>
      <c r="C1141" s="2">
        <f t="shared" si="69"/>
        <v>0</v>
      </c>
    </row>
    <row r="1142" spans="1:3" x14ac:dyDescent="0.25">
      <c r="A1142">
        <f t="shared" si="71"/>
        <v>227.99999999999559</v>
      </c>
      <c r="B1142" s="2">
        <f t="shared" si="70"/>
        <v>57.160000000000252</v>
      </c>
      <c r="C1142" s="2">
        <f t="shared" si="69"/>
        <v>0</v>
      </c>
    </row>
    <row r="1143" spans="1:3" x14ac:dyDescent="0.25">
      <c r="A1143">
        <f t="shared" si="71"/>
        <v>228.19999999999558</v>
      </c>
      <c r="B1143" s="2">
        <f t="shared" si="70"/>
        <v>57.160000000000252</v>
      </c>
      <c r="C1143" s="2">
        <f t="shared" si="69"/>
        <v>0</v>
      </c>
    </row>
    <row r="1144" spans="1:3" x14ac:dyDescent="0.25">
      <c r="A1144">
        <f t="shared" si="71"/>
        <v>228.39999999999557</v>
      </c>
      <c r="B1144" s="2">
        <f t="shared" si="70"/>
        <v>57.160000000000252</v>
      </c>
      <c r="C1144" s="2">
        <f t="shared" si="69"/>
        <v>0</v>
      </c>
    </row>
    <row r="1145" spans="1:3" x14ac:dyDescent="0.25">
      <c r="A1145">
        <f t="shared" si="71"/>
        <v>228.59999999999556</v>
      </c>
      <c r="B1145" s="2">
        <f t="shared" si="70"/>
        <v>57.160000000000252</v>
      </c>
      <c r="C1145" s="2">
        <f t="shared" si="69"/>
        <v>0</v>
      </c>
    </row>
    <row r="1146" spans="1:3" x14ac:dyDescent="0.25">
      <c r="A1146">
        <f t="shared" si="71"/>
        <v>228.79999999999555</v>
      </c>
      <c r="B1146" s="2">
        <f t="shared" si="70"/>
        <v>57.160000000000252</v>
      </c>
      <c r="C1146" s="2">
        <f t="shared" si="69"/>
        <v>0</v>
      </c>
    </row>
    <row r="1147" spans="1:3" x14ac:dyDescent="0.25">
      <c r="A1147">
        <f t="shared" si="71"/>
        <v>228.99999999999554</v>
      </c>
      <c r="B1147" s="2">
        <f t="shared" si="70"/>
        <v>57.160000000000252</v>
      </c>
      <c r="C1147" s="2">
        <f t="shared" si="69"/>
        <v>0</v>
      </c>
    </row>
    <row r="1148" spans="1:3" x14ac:dyDescent="0.25">
      <c r="A1148">
        <f t="shared" si="71"/>
        <v>229.19999999999553</v>
      </c>
      <c r="B1148" s="2">
        <f t="shared" si="70"/>
        <v>57.160000000000252</v>
      </c>
      <c r="C1148" s="2">
        <f t="shared" si="69"/>
        <v>0</v>
      </c>
    </row>
    <row r="1149" spans="1:3" x14ac:dyDescent="0.25">
      <c r="A1149">
        <f t="shared" si="71"/>
        <v>229.39999999999552</v>
      </c>
      <c r="B1149" s="2">
        <f t="shared" si="70"/>
        <v>57.160000000000252</v>
      </c>
      <c r="C1149" s="2">
        <f t="shared" si="69"/>
        <v>0</v>
      </c>
    </row>
    <row r="1150" spans="1:3" x14ac:dyDescent="0.25">
      <c r="A1150">
        <f t="shared" si="71"/>
        <v>229.5999999999955</v>
      </c>
      <c r="B1150" s="2">
        <f t="shared" si="70"/>
        <v>57.160000000000252</v>
      </c>
      <c r="C1150" s="2">
        <f t="shared" si="69"/>
        <v>0</v>
      </c>
    </row>
    <row r="1151" spans="1:3" x14ac:dyDescent="0.25">
      <c r="A1151">
        <f t="shared" si="71"/>
        <v>229.79999999999549</v>
      </c>
      <c r="B1151" s="2">
        <f t="shared" si="70"/>
        <v>57.160000000000252</v>
      </c>
      <c r="C1151" s="2">
        <f t="shared" si="69"/>
        <v>0</v>
      </c>
    </row>
    <row r="1152" spans="1:3" x14ac:dyDescent="0.25">
      <c r="A1152">
        <f t="shared" si="71"/>
        <v>229.99999999999548</v>
      </c>
      <c r="B1152" s="2">
        <f t="shared" si="70"/>
        <v>57.160000000000252</v>
      </c>
      <c r="C1152" s="2">
        <f t="shared" si="69"/>
        <v>0</v>
      </c>
    </row>
    <row r="1153" spans="1:3" x14ac:dyDescent="0.25">
      <c r="A1153">
        <f t="shared" si="71"/>
        <v>230.19999999999547</v>
      </c>
      <c r="B1153" s="2">
        <f t="shared" si="70"/>
        <v>57.160000000000252</v>
      </c>
      <c r="C1153" s="2">
        <f t="shared" si="69"/>
        <v>-0.29333333333333322</v>
      </c>
    </row>
    <row r="1154" spans="1:3" x14ac:dyDescent="0.25">
      <c r="A1154">
        <f t="shared" si="71"/>
        <v>230.39999999999546</v>
      </c>
      <c r="B1154" s="2">
        <f t="shared" si="70"/>
        <v>56.866666666666916</v>
      </c>
      <c r="C1154" s="2">
        <f t="shared" si="69"/>
        <v>-0.29333333333333322</v>
      </c>
    </row>
    <row r="1155" spans="1:3" x14ac:dyDescent="0.25">
      <c r="A1155">
        <f t="shared" si="71"/>
        <v>230.59999999999545</v>
      </c>
      <c r="B1155" s="2">
        <f t="shared" si="70"/>
        <v>56.573333333333579</v>
      </c>
      <c r="C1155" s="2">
        <f t="shared" ref="C1155:C1218" si="72">INDEX($K$3:$K$40,MATCH(A1155,$H$2:$H$40,1))</f>
        <v>-0.29333333333333322</v>
      </c>
    </row>
    <row r="1156" spans="1:3" x14ac:dyDescent="0.25">
      <c r="A1156">
        <f t="shared" si="71"/>
        <v>230.79999999999544</v>
      </c>
      <c r="B1156" s="2">
        <f t="shared" ref="B1156:B1219" si="73">B1155+C1155</f>
        <v>56.280000000000243</v>
      </c>
      <c r="C1156" s="2">
        <f t="shared" si="72"/>
        <v>-0.29333333333333322</v>
      </c>
    </row>
    <row r="1157" spans="1:3" x14ac:dyDescent="0.25">
      <c r="A1157">
        <f t="shared" si="71"/>
        <v>230.99999999999542</v>
      </c>
      <c r="B1157" s="2">
        <f t="shared" si="73"/>
        <v>55.986666666666906</v>
      </c>
      <c r="C1157" s="2">
        <f t="shared" si="72"/>
        <v>-0.29333333333333322</v>
      </c>
    </row>
    <row r="1158" spans="1:3" x14ac:dyDescent="0.25">
      <c r="A1158">
        <f t="shared" si="71"/>
        <v>231.19999999999541</v>
      </c>
      <c r="B1158" s="2">
        <f t="shared" si="73"/>
        <v>55.69333333333357</v>
      </c>
      <c r="C1158" s="2">
        <f t="shared" si="72"/>
        <v>-0.29333333333333322</v>
      </c>
    </row>
    <row r="1159" spans="1:3" x14ac:dyDescent="0.25">
      <c r="A1159">
        <f t="shared" si="71"/>
        <v>231.3999999999954</v>
      </c>
      <c r="B1159" s="2">
        <f t="shared" si="73"/>
        <v>55.400000000000233</v>
      </c>
      <c r="C1159" s="2">
        <f t="shared" si="72"/>
        <v>-0.29333333333333322</v>
      </c>
    </row>
    <row r="1160" spans="1:3" x14ac:dyDescent="0.25">
      <c r="A1160">
        <f t="shared" si="71"/>
        <v>231.59999999999539</v>
      </c>
      <c r="B1160" s="2">
        <f t="shared" si="73"/>
        <v>55.106666666666897</v>
      </c>
      <c r="C1160" s="2">
        <f t="shared" si="72"/>
        <v>-0.29333333333333322</v>
      </c>
    </row>
    <row r="1161" spans="1:3" x14ac:dyDescent="0.25">
      <c r="A1161">
        <f t="shared" si="71"/>
        <v>231.79999999999538</v>
      </c>
      <c r="B1161" s="2">
        <f t="shared" si="73"/>
        <v>54.81333333333356</v>
      </c>
      <c r="C1161" s="2">
        <f t="shared" si="72"/>
        <v>-0.29333333333333322</v>
      </c>
    </row>
    <row r="1162" spans="1:3" x14ac:dyDescent="0.25">
      <c r="A1162">
        <f t="shared" si="71"/>
        <v>231.99999999999537</v>
      </c>
      <c r="B1162" s="2">
        <f t="shared" si="73"/>
        <v>54.520000000000223</v>
      </c>
      <c r="C1162" s="2">
        <f t="shared" si="72"/>
        <v>-0.29333333333333322</v>
      </c>
    </row>
    <row r="1163" spans="1:3" x14ac:dyDescent="0.25">
      <c r="A1163">
        <f t="shared" si="71"/>
        <v>232.19999999999536</v>
      </c>
      <c r="B1163" s="2">
        <f t="shared" si="73"/>
        <v>54.226666666666887</v>
      </c>
      <c r="C1163" s="2">
        <f t="shared" si="72"/>
        <v>-0.29333333333333322</v>
      </c>
    </row>
    <row r="1164" spans="1:3" x14ac:dyDescent="0.25">
      <c r="A1164">
        <f t="shared" si="71"/>
        <v>232.39999999999534</v>
      </c>
      <c r="B1164" s="2">
        <f t="shared" si="73"/>
        <v>53.93333333333355</v>
      </c>
      <c r="C1164" s="2">
        <f t="shared" si="72"/>
        <v>-0.29333333333333322</v>
      </c>
    </row>
    <row r="1165" spans="1:3" x14ac:dyDescent="0.25">
      <c r="A1165">
        <f t="shared" si="71"/>
        <v>232.59999999999533</v>
      </c>
      <c r="B1165" s="2">
        <f t="shared" si="73"/>
        <v>53.640000000000214</v>
      </c>
      <c r="C1165" s="2">
        <f t="shared" si="72"/>
        <v>-0.29333333333333322</v>
      </c>
    </row>
    <row r="1166" spans="1:3" x14ac:dyDescent="0.25">
      <c r="A1166">
        <f t="shared" si="71"/>
        <v>232.79999999999532</v>
      </c>
      <c r="B1166" s="2">
        <f t="shared" si="73"/>
        <v>53.346666666666877</v>
      </c>
      <c r="C1166" s="2">
        <f t="shared" si="72"/>
        <v>-0.29333333333333322</v>
      </c>
    </row>
    <row r="1167" spans="1:3" x14ac:dyDescent="0.25">
      <c r="A1167">
        <f t="shared" si="71"/>
        <v>232.99999999999531</v>
      </c>
      <c r="B1167" s="2">
        <f t="shared" si="73"/>
        <v>53.053333333333541</v>
      </c>
      <c r="C1167" s="2">
        <f t="shared" si="72"/>
        <v>-0.29333333333333322</v>
      </c>
    </row>
    <row r="1168" spans="1:3" x14ac:dyDescent="0.25">
      <c r="A1168">
        <f t="shared" si="71"/>
        <v>233.1999999999953</v>
      </c>
      <c r="B1168" s="2">
        <f t="shared" si="73"/>
        <v>52.760000000000204</v>
      </c>
      <c r="C1168" s="2">
        <f t="shared" si="72"/>
        <v>-0.29333333333333322</v>
      </c>
    </row>
    <row r="1169" spans="1:3" x14ac:dyDescent="0.25">
      <c r="A1169">
        <f t="shared" si="71"/>
        <v>233.39999999999529</v>
      </c>
      <c r="B1169" s="2">
        <f t="shared" si="73"/>
        <v>52.466666666666868</v>
      </c>
      <c r="C1169" s="2">
        <f t="shared" si="72"/>
        <v>-0.29333333333333322</v>
      </c>
    </row>
    <row r="1170" spans="1:3" x14ac:dyDescent="0.25">
      <c r="A1170">
        <f t="shared" si="71"/>
        <v>233.59999999999528</v>
      </c>
      <c r="B1170" s="2">
        <f t="shared" si="73"/>
        <v>52.173333333333531</v>
      </c>
      <c r="C1170" s="2">
        <f t="shared" si="72"/>
        <v>-0.29333333333333322</v>
      </c>
    </row>
    <row r="1171" spans="1:3" x14ac:dyDescent="0.25">
      <c r="A1171">
        <f t="shared" si="71"/>
        <v>233.79999999999526</v>
      </c>
      <c r="B1171" s="2">
        <f t="shared" si="73"/>
        <v>51.880000000000194</v>
      </c>
      <c r="C1171" s="2">
        <f t="shared" si="72"/>
        <v>-0.29333333333333322</v>
      </c>
    </row>
    <row r="1172" spans="1:3" x14ac:dyDescent="0.25">
      <c r="A1172">
        <f t="shared" si="71"/>
        <v>233.99999999999525</v>
      </c>
      <c r="B1172" s="2">
        <f t="shared" si="73"/>
        <v>51.586666666666858</v>
      </c>
      <c r="C1172" s="2">
        <f t="shared" si="72"/>
        <v>-0.29333333333333322</v>
      </c>
    </row>
    <row r="1173" spans="1:3" x14ac:dyDescent="0.25">
      <c r="A1173">
        <f t="shared" si="71"/>
        <v>234.19999999999524</v>
      </c>
      <c r="B1173" s="2">
        <f t="shared" si="73"/>
        <v>51.293333333333521</v>
      </c>
      <c r="C1173" s="2">
        <f t="shared" si="72"/>
        <v>-0.29333333333333322</v>
      </c>
    </row>
    <row r="1174" spans="1:3" x14ac:dyDescent="0.25">
      <c r="A1174">
        <f t="shared" si="71"/>
        <v>234.39999999999523</v>
      </c>
      <c r="B1174" s="2">
        <f t="shared" si="73"/>
        <v>51.000000000000185</v>
      </c>
      <c r="C1174" s="2">
        <f t="shared" si="72"/>
        <v>-0.29333333333333322</v>
      </c>
    </row>
    <row r="1175" spans="1:3" x14ac:dyDescent="0.25">
      <c r="A1175">
        <f t="shared" si="71"/>
        <v>234.59999999999522</v>
      </c>
      <c r="B1175" s="2">
        <f t="shared" si="73"/>
        <v>50.706666666666848</v>
      </c>
      <c r="C1175" s="2">
        <f t="shared" si="72"/>
        <v>-0.29333333333333322</v>
      </c>
    </row>
    <row r="1176" spans="1:3" x14ac:dyDescent="0.25">
      <c r="A1176">
        <f t="shared" si="71"/>
        <v>234.79999999999521</v>
      </c>
      <c r="B1176" s="2">
        <f t="shared" si="73"/>
        <v>50.413333333333512</v>
      </c>
      <c r="C1176" s="2">
        <f t="shared" si="72"/>
        <v>-0.29333333333333322</v>
      </c>
    </row>
    <row r="1177" spans="1:3" x14ac:dyDescent="0.25">
      <c r="A1177">
        <f t="shared" si="71"/>
        <v>234.9999999999952</v>
      </c>
      <c r="B1177" s="2">
        <f t="shared" si="73"/>
        <v>50.120000000000175</v>
      </c>
      <c r="C1177" s="2">
        <f t="shared" si="72"/>
        <v>-0.29333333333333322</v>
      </c>
    </row>
    <row r="1178" spans="1:3" x14ac:dyDescent="0.25">
      <c r="A1178">
        <f t="shared" si="71"/>
        <v>235.19999999999519</v>
      </c>
      <c r="B1178" s="2">
        <f t="shared" si="73"/>
        <v>49.826666666666839</v>
      </c>
      <c r="C1178" s="2">
        <f t="shared" si="72"/>
        <v>-0.29333333333333322</v>
      </c>
    </row>
    <row r="1179" spans="1:3" x14ac:dyDescent="0.25">
      <c r="A1179">
        <f t="shared" si="71"/>
        <v>235.39999999999517</v>
      </c>
      <c r="B1179" s="2">
        <f t="shared" si="73"/>
        <v>49.533333333333502</v>
      </c>
      <c r="C1179" s="2">
        <f t="shared" si="72"/>
        <v>-0.29333333333333322</v>
      </c>
    </row>
    <row r="1180" spans="1:3" x14ac:dyDescent="0.25">
      <c r="A1180">
        <f t="shared" si="71"/>
        <v>235.59999999999516</v>
      </c>
      <c r="B1180" s="2">
        <f t="shared" si="73"/>
        <v>49.240000000000165</v>
      </c>
      <c r="C1180" s="2">
        <f t="shared" si="72"/>
        <v>-0.29333333333333322</v>
      </c>
    </row>
    <row r="1181" spans="1:3" x14ac:dyDescent="0.25">
      <c r="A1181">
        <f t="shared" si="71"/>
        <v>235.79999999999515</v>
      </c>
      <c r="B1181" s="2">
        <f t="shared" si="73"/>
        <v>48.946666666666829</v>
      </c>
      <c r="C1181" s="2">
        <f t="shared" si="72"/>
        <v>-0.29333333333333322</v>
      </c>
    </row>
    <row r="1182" spans="1:3" x14ac:dyDescent="0.25">
      <c r="A1182">
        <f t="shared" si="71"/>
        <v>235.99999999999514</v>
      </c>
      <c r="B1182" s="2">
        <f t="shared" si="73"/>
        <v>48.653333333333492</v>
      </c>
      <c r="C1182" s="2">
        <f t="shared" si="72"/>
        <v>-0.29333333333333322</v>
      </c>
    </row>
    <row r="1183" spans="1:3" x14ac:dyDescent="0.25">
      <c r="A1183">
        <f t="shared" si="71"/>
        <v>236.19999999999513</v>
      </c>
      <c r="B1183" s="2">
        <f t="shared" si="73"/>
        <v>48.360000000000156</v>
      </c>
      <c r="C1183" s="2">
        <f t="shared" si="72"/>
        <v>-0.29333333333333322</v>
      </c>
    </row>
    <row r="1184" spans="1:3" x14ac:dyDescent="0.25">
      <c r="A1184">
        <f t="shared" si="71"/>
        <v>236.39999999999512</v>
      </c>
      <c r="B1184" s="2">
        <f t="shared" si="73"/>
        <v>48.066666666666819</v>
      </c>
      <c r="C1184" s="2">
        <f t="shared" si="72"/>
        <v>-0.29333333333333322</v>
      </c>
    </row>
    <row r="1185" spans="1:3" x14ac:dyDescent="0.25">
      <c r="A1185">
        <f t="shared" si="71"/>
        <v>236.59999999999511</v>
      </c>
      <c r="B1185" s="2">
        <f t="shared" si="73"/>
        <v>47.773333333333483</v>
      </c>
      <c r="C1185" s="2">
        <f t="shared" si="72"/>
        <v>-0.29333333333333322</v>
      </c>
    </row>
    <row r="1186" spans="1:3" x14ac:dyDescent="0.25">
      <c r="A1186">
        <f t="shared" si="71"/>
        <v>236.79999999999509</v>
      </c>
      <c r="B1186" s="2">
        <f t="shared" si="73"/>
        <v>47.480000000000146</v>
      </c>
      <c r="C1186" s="2">
        <f t="shared" si="72"/>
        <v>-0.29333333333333322</v>
      </c>
    </row>
    <row r="1187" spans="1:3" x14ac:dyDescent="0.25">
      <c r="A1187">
        <f t="shared" si="71"/>
        <v>236.99999999999508</v>
      </c>
      <c r="B1187" s="2">
        <f t="shared" si="73"/>
        <v>47.18666666666681</v>
      </c>
      <c r="C1187" s="2">
        <f t="shared" si="72"/>
        <v>-0.29333333333333322</v>
      </c>
    </row>
    <row r="1188" spans="1:3" x14ac:dyDescent="0.25">
      <c r="A1188">
        <f t="shared" si="71"/>
        <v>237.19999999999507</v>
      </c>
      <c r="B1188" s="2">
        <f t="shared" si="73"/>
        <v>46.893333333333473</v>
      </c>
      <c r="C1188" s="2">
        <f t="shared" si="72"/>
        <v>-0.29333333333333322</v>
      </c>
    </row>
    <row r="1189" spans="1:3" x14ac:dyDescent="0.25">
      <c r="A1189">
        <f t="shared" si="71"/>
        <v>237.39999999999506</v>
      </c>
      <c r="B1189" s="2">
        <f t="shared" si="73"/>
        <v>46.600000000000136</v>
      </c>
      <c r="C1189" s="2">
        <f t="shared" si="72"/>
        <v>-0.29333333333333322</v>
      </c>
    </row>
    <row r="1190" spans="1:3" x14ac:dyDescent="0.25">
      <c r="A1190">
        <f t="shared" si="71"/>
        <v>237.59999999999505</v>
      </c>
      <c r="B1190" s="2">
        <f t="shared" si="73"/>
        <v>46.3066666666668</v>
      </c>
      <c r="C1190" s="2">
        <f t="shared" si="72"/>
        <v>-0.29333333333333322</v>
      </c>
    </row>
    <row r="1191" spans="1:3" x14ac:dyDescent="0.25">
      <c r="A1191">
        <f t="shared" si="71"/>
        <v>237.79999999999504</v>
      </c>
      <c r="B1191" s="2">
        <f t="shared" si="73"/>
        <v>46.013333333333463</v>
      </c>
      <c r="C1191" s="2">
        <f t="shared" si="72"/>
        <v>-0.29333333333333322</v>
      </c>
    </row>
    <row r="1192" spans="1:3" x14ac:dyDescent="0.25">
      <c r="A1192">
        <f t="shared" si="71"/>
        <v>237.99999999999503</v>
      </c>
      <c r="B1192" s="2">
        <f t="shared" si="73"/>
        <v>45.720000000000127</v>
      </c>
      <c r="C1192" s="2">
        <f t="shared" si="72"/>
        <v>-0.29333333333333322</v>
      </c>
    </row>
    <row r="1193" spans="1:3" x14ac:dyDescent="0.25">
      <c r="A1193">
        <f t="shared" si="71"/>
        <v>238.19999999999501</v>
      </c>
      <c r="B1193" s="2">
        <f t="shared" si="73"/>
        <v>45.42666666666679</v>
      </c>
      <c r="C1193" s="2">
        <f t="shared" si="72"/>
        <v>-0.29333333333333322</v>
      </c>
    </row>
    <row r="1194" spans="1:3" x14ac:dyDescent="0.25">
      <c r="A1194">
        <f t="shared" si="71"/>
        <v>238.399999999995</v>
      </c>
      <c r="B1194" s="2">
        <f t="shared" si="73"/>
        <v>45.133333333333454</v>
      </c>
      <c r="C1194" s="2">
        <f t="shared" si="72"/>
        <v>-0.29333333333333322</v>
      </c>
    </row>
    <row r="1195" spans="1:3" x14ac:dyDescent="0.25">
      <c r="A1195">
        <f t="shared" si="71"/>
        <v>238.59999999999499</v>
      </c>
      <c r="B1195" s="2">
        <f t="shared" si="73"/>
        <v>44.840000000000117</v>
      </c>
      <c r="C1195" s="2">
        <f t="shared" si="72"/>
        <v>-0.29333333333333322</v>
      </c>
    </row>
    <row r="1196" spans="1:3" x14ac:dyDescent="0.25">
      <c r="A1196">
        <f t="shared" si="71"/>
        <v>238.79999999999498</v>
      </c>
      <c r="B1196" s="2">
        <f t="shared" si="73"/>
        <v>44.546666666666781</v>
      </c>
      <c r="C1196" s="2">
        <f t="shared" si="72"/>
        <v>-0.29333333333333322</v>
      </c>
    </row>
    <row r="1197" spans="1:3" x14ac:dyDescent="0.25">
      <c r="A1197">
        <f t="shared" si="71"/>
        <v>238.99999999999497</v>
      </c>
      <c r="B1197" s="2">
        <f t="shared" si="73"/>
        <v>44.253333333333444</v>
      </c>
      <c r="C1197" s="2">
        <f t="shared" si="72"/>
        <v>-0.29333333333333322</v>
      </c>
    </row>
    <row r="1198" spans="1:3" x14ac:dyDescent="0.25">
      <c r="A1198">
        <f t="shared" si="71"/>
        <v>239.19999999999496</v>
      </c>
      <c r="B1198" s="2">
        <f t="shared" si="73"/>
        <v>43.960000000000107</v>
      </c>
      <c r="C1198" s="2">
        <f t="shared" si="72"/>
        <v>-0.29333333333333322</v>
      </c>
    </row>
    <row r="1199" spans="1:3" x14ac:dyDescent="0.25">
      <c r="A1199">
        <f t="shared" ref="A1199:A1262" si="74">A1198+0.2</f>
        <v>239.39999999999495</v>
      </c>
      <c r="B1199" s="2">
        <f t="shared" si="73"/>
        <v>43.666666666666771</v>
      </c>
      <c r="C1199" s="2">
        <f t="shared" si="72"/>
        <v>-0.29333333333333322</v>
      </c>
    </row>
    <row r="1200" spans="1:3" x14ac:dyDescent="0.25">
      <c r="A1200">
        <f t="shared" si="74"/>
        <v>239.59999999999494</v>
      </c>
      <c r="B1200" s="2">
        <f t="shared" si="73"/>
        <v>43.373333333333434</v>
      </c>
      <c r="C1200" s="2">
        <f t="shared" si="72"/>
        <v>-0.29333333333333322</v>
      </c>
    </row>
    <row r="1201" spans="1:3" x14ac:dyDescent="0.25">
      <c r="A1201">
        <f t="shared" si="74"/>
        <v>239.79999999999492</v>
      </c>
      <c r="B1201" s="2">
        <f t="shared" si="73"/>
        <v>43.080000000000098</v>
      </c>
      <c r="C1201" s="2">
        <f t="shared" si="72"/>
        <v>-0.29333333333333322</v>
      </c>
    </row>
    <row r="1202" spans="1:3" x14ac:dyDescent="0.25">
      <c r="A1202">
        <f t="shared" si="74"/>
        <v>239.99999999999491</v>
      </c>
      <c r="B1202" s="2">
        <f t="shared" si="73"/>
        <v>42.786666666666761</v>
      </c>
      <c r="C1202" s="2">
        <f t="shared" si="72"/>
        <v>-0.29333333333333322</v>
      </c>
    </row>
    <row r="1203" spans="1:3" x14ac:dyDescent="0.25">
      <c r="A1203">
        <f t="shared" si="74"/>
        <v>240.1999999999949</v>
      </c>
      <c r="B1203" s="2">
        <f t="shared" si="73"/>
        <v>42.493333333333425</v>
      </c>
      <c r="C1203" s="2">
        <f t="shared" si="72"/>
        <v>-0.29333333333333322</v>
      </c>
    </row>
    <row r="1204" spans="1:3" x14ac:dyDescent="0.25">
      <c r="A1204">
        <f t="shared" si="74"/>
        <v>240.39999999999489</v>
      </c>
      <c r="B1204" s="2">
        <f t="shared" si="73"/>
        <v>42.200000000000088</v>
      </c>
      <c r="C1204" s="2">
        <f t="shared" si="72"/>
        <v>-0.29333333333333322</v>
      </c>
    </row>
    <row r="1205" spans="1:3" x14ac:dyDescent="0.25">
      <c r="A1205">
        <f t="shared" si="74"/>
        <v>240.59999999999488</v>
      </c>
      <c r="B1205" s="2">
        <f t="shared" si="73"/>
        <v>41.906666666666752</v>
      </c>
      <c r="C1205" s="2">
        <f t="shared" si="72"/>
        <v>-0.29333333333333322</v>
      </c>
    </row>
    <row r="1206" spans="1:3" x14ac:dyDescent="0.25">
      <c r="A1206">
        <f t="shared" si="74"/>
        <v>240.79999999999487</v>
      </c>
      <c r="B1206" s="2">
        <f t="shared" si="73"/>
        <v>41.613333333333415</v>
      </c>
      <c r="C1206" s="2">
        <f t="shared" si="72"/>
        <v>-0.29333333333333322</v>
      </c>
    </row>
    <row r="1207" spans="1:3" x14ac:dyDescent="0.25">
      <c r="A1207">
        <f t="shared" si="74"/>
        <v>240.99999999999486</v>
      </c>
      <c r="B1207" s="2">
        <f t="shared" si="73"/>
        <v>41.320000000000078</v>
      </c>
      <c r="C1207" s="2">
        <f t="shared" si="72"/>
        <v>-0.29333333333333322</v>
      </c>
    </row>
    <row r="1208" spans="1:3" x14ac:dyDescent="0.25">
      <c r="A1208">
        <f t="shared" si="74"/>
        <v>241.19999999999484</v>
      </c>
      <c r="B1208" s="2">
        <f t="shared" si="73"/>
        <v>41.026666666666742</v>
      </c>
      <c r="C1208" s="2">
        <f t="shared" si="72"/>
        <v>-0.29333333333333322</v>
      </c>
    </row>
    <row r="1209" spans="1:3" x14ac:dyDescent="0.25">
      <c r="A1209">
        <f t="shared" si="74"/>
        <v>241.39999999999483</v>
      </c>
      <c r="B1209" s="2">
        <f t="shared" si="73"/>
        <v>40.733333333333405</v>
      </c>
      <c r="C1209" s="2">
        <f t="shared" si="72"/>
        <v>-0.29333333333333322</v>
      </c>
    </row>
    <row r="1210" spans="1:3" x14ac:dyDescent="0.25">
      <c r="A1210">
        <f t="shared" si="74"/>
        <v>241.59999999999482</v>
      </c>
      <c r="B1210" s="2">
        <f t="shared" si="73"/>
        <v>40.440000000000069</v>
      </c>
      <c r="C1210" s="2">
        <f t="shared" si="72"/>
        <v>-0.29333333333333322</v>
      </c>
    </row>
    <row r="1211" spans="1:3" x14ac:dyDescent="0.25">
      <c r="A1211">
        <f t="shared" si="74"/>
        <v>241.79999999999481</v>
      </c>
      <c r="B1211" s="2">
        <f t="shared" si="73"/>
        <v>40.146666666666732</v>
      </c>
      <c r="C1211" s="2">
        <f t="shared" si="72"/>
        <v>-0.29333333333333322</v>
      </c>
    </row>
    <row r="1212" spans="1:3" x14ac:dyDescent="0.25">
      <c r="A1212">
        <f t="shared" si="74"/>
        <v>241.9999999999948</v>
      </c>
      <c r="B1212" s="2">
        <f t="shared" si="73"/>
        <v>39.853333333333396</v>
      </c>
      <c r="C1212" s="2">
        <f t="shared" si="72"/>
        <v>-0.29333333333333322</v>
      </c>
    </row>
    <row r="1213" spans="1:3" x14ac:dyDescent="0.25">
      <c r="A1213">
        <f t="shared" si="74"/>
        <v>242.19999999999479</v>
      </c>
      <c r="B1213" s="2">
        <f t="shared" si="73"/>
        <v>39.560000000000059</v>
      </c>
      <c r="C1213" s="2">
        <f t="shared" si="72"/>
        <v>-0.29333333333333322</v>
      </c>
    </row>
    <row r="1214" spans="1:3" x14ac:dyDescent="0.25">
      <c r="A1214">
        <f t="shared" si="74"/>
        <v>242.39999999999478</v>
      </c>
      <c r="B1214" s="2">
        <f t="shared" si="73"/>
        <v>39.266666666666723</v>
      </c>
      <c r="C1214" s="2">
        <f t="shared" si="72"/>
        <v>-0.29333333333333322</v>
      </c>
    </row>
    <row r="1215" spans="1:3" x14ac:dyDescent="0.25">
      <c r="A1215">
        <f t="shared" si="74"/>
        <v>242.59999999999476</v>
      </c>
      <c r="B1215" s="2">
        <f t="shared" si="73"/>
        <v>38.973333333333386</v>
      </c>
      <c r="C1215" s="2">
        <f t="shared" si="72"/>
        <v>-0.29333333333333322</v>
      </c>
    </row>
    <row r="1216" spans="1:3" x14ac:dyDescent="0.25">
      <c r="A1216">
        <f t="shared" si="74"/>
        <v>242.79999999999475</v>
      </c>
      <c r="B1216" s="2">
        <f t="shared" si="73"/>
        <v>38.680000000000049</v>
      </c>
      <c r="C1216" s="2">
        <f t="shared" si="72"/>
        <v>-0.29333333333333322</v>
      </c>
    </row>
    <row r="1217" spans="1:3" x14ac:dyDescent="0.25">
      <c r="A1217">
        <f t="shared" si="74"/>
        <v>242.99999999999474</v>
      </c>
      <c r="B1217" s="2">
        <f t="shared" si="73"/>
        <v>38.386666666666713</v>
      </c>
      <c r="C1217" s="2">
        <f t="shared" si="72"/>
        <v>-0.29333333333333322</v>
      </c>
    </row>
    <row r="1218" spans="1:3" x14ac:dyDescent="0.25">
      <c r="A1218">
        <f t="shared" si="74"/>
        <v>243.19999999999473</v>
      </c>
      <c r="B1218" s="2">
        <f t="shared" si="73"/>
        <v>38.093333333333376</v>
      </c>
      <c r="C1218" s="2">
        <f t="shared" si="72"/>
        <v>-0.29333333333333322</v>
      </c>
    </row>
    <row r="1219" spans="1:3" x14ac:dyDescent="0.25">
      <c r="A1219">
        <f t="shared" si="74"/>
        <v>243.39999999999472</v>
      </c>
      <c r="B1219" s="2">
        <f t="shared" si="73"/>
        <v>37.80000000000004</v>
      </c>
      <c r="C1219" s="2">
        <f t="shared" ref="C1219:C1282" si="75">INDEX($K$3:$K$40,MATCH(A1219,$H$2:$H$40,1))</f>
        <v>-0.29333333333333322</v>
      </c>
    </row>
    <row r="1220" spans="1:3" x14ac:dyDescent="0.25">
      <c r="A1220">
        <f t="shared" si="74"/>
        <v>243.59999999999471</v>
      </c>
      <c r="B1220" s="2">
        <f t="shared" ref="B1220:B1283" si="76">B1219+C1219</f>
        <v>37.506666666666703</v>
      </c>
      <c r="C1220" s="2">
        <f t="shared" si="75"/>
        <v>-0.29333333333333322</v>
      </c>
    </row>
    <row r="1221" spans="1:3" x14ac:dyDescent="0.25">
      <c r="A1221">
        <f t="shared" si="74"/>
        <v>243.7999999999947</v>
      </c>
      <c r="B1221" s="2">
        <f t="shared" si="76"/>
        <v>37.213333333333367</v>
      </c>
      <c r="C1221" s="2">
        <f t="shared" si="75"/>
        <v>-0.29333333333333322</v>
      </c>
    </row>
    <row r="1222" spans="1:3" x14ac:dyDescent="0.25">
      <c r="A1222">
        <f t="shared" si="74"/>
        <v>243.99999999999469</v>
      </c>
      <c r="B1222" s="2">
        <f t="shared" si="76"/>
        <v>36.92000000000003</v>
      </c>
      <c r="C1222" s="2">
        <f t="shared" si="75"/>
        <v>-0.29333333333333322</v>
      </c>
    </row>
    <row r="1223" spans="1:3" x14ac:dyDescent="0.25">
      <c r="A1223">
        <f t="shared" si="74"/>
        <v>244.19999999999467</v>
      </c>
      <c r="B1223" s="2">
        <f t="shared" si="76"/>
        <v>36.626666666666694</v>
      </c>
      <c r="C1223" s="2">
        <f t="shared" si="75"/>
        <v>-0.29333333333333322</v>
      </c>
    </row>
    <row r="1224" spans="1:3" x14ac:dyDescent="0.25">
      <c r="A1224">
        <f t="shared" si="74"/>
        <v>244.39999999999466</v>
      </c>
      <c r="B1224" s="2">
        <f t="shared" si="76"/>
        <v>36.333333333333357</v>
      </c>
      <c r="C1224" s="2">
        <f t="shared" si="75"/>
        <v>-0.29333333333333322</v>
      </c>
    </row>
    <row r="1225" spans="1:3" x14ac:dyDescent="0.25">
      <c r="A1225">
        <f t="shared" si="74"/>
        <v>244.59999999999465</v>
      </c>
      <c r="B1225" s="2">
        <f t="shared" si="76"/>
        <v>36.04000000000002</v>
      </c>
      <c r="C1225" s="2">
        <f t="shared" si="75"/>
        <v>-0.29333333333333322</v>
      </c>
    </row>
    <row r="1226" spans="1:3" x14ac:dyDescent="0.25">
      <c r="A1226">
        <f t="shared" si="74"/>
        <v>244.79999999999464</v>
      </c>
      <c r="B1226" s="2">
        <f t="shared" si="76"/>
        <v>35.746666666666684</v>
      </c>
      <c r="C1226" s="2">
        <f t="shared" si="75"/>
        <v>-0.29333333333333322</v>
      </c>
    </row>
    <row r="1227" spans="1:3" x14ac:dyDescent="0.25">
      <c r="A1227">
        <f t="shared" si="74"/>
        <v>244.99999999999463</v>
      </c>
      <c r="B1227" s="2">
        <f t="shared" si="76"/>
        <v>35.453333333333347</v>
      </c>
      <c r="C1227" s="2">
        <f t="shared" si="75"/>
        <v>-0.29333333333333322</v>
      </c>
    </row>
    <row r="1228" spans="1:3" x14ac:dyDescent="0.25">
      <c r="A1228">
        <f t="shared" si="74"/>
        <v>245.19999999999462</v>
      </c>
      <c r="B1228" s="2">
        <f t="shared" si="76"/>
        <v>35.160000000000011</v>
      </c>
      <c r="C1228" s="2">
        <f t="shared" si="75"/>
        <v>0</v>
      </c>
    </row>
    <row r="1229" spans="1:3" x14ac:dyDescent="0.25">
      <c r="A1229">
        <f t="shared" si="74"/>
        <v>245.39999999999461</v>
      </c>
      <c r="B1229" s="2">
        <f t="shared" si="76"/>
        <v>35.160000000000011</v>
      </c>
      <c r="C1229" s="2">
        <f t="shared" si="75"/>
        <v>0</v>
      </c>
    </row>
    <row r="1230" spans="1:3" x14ac:dyDescent="0.25">
      <c r="A1230">
        <f t="shared" si="74"/>
        <v>245.59999999999459</v>
      </c>
      <c r="B1230" s="2">
        <f t="shared" si="76"/>
        <v>35.160000000000011</v>
      </c>
      <c r="C1230" s="2">
        <f t="shared" si="75"/>
        <v>0</v>
      </c>
    </row>
    <row r="1231" spans="1:3" x14ac:dyDescent="0.25">
      <c r="A1231">
        <f t="shared" si="74"/>
        <v>245.79999999999458</v>
      </c>
      <c r="B1231" s="2">
        <f t="shared" si="76"/>
        <v>35.160000000000011</v>
      </c>
      <c r="C1231" s="2">
        <f t="shared" si="75"/>
        <v>0</v>
      </c>
    </row>
    <row r="1232" spans="1:3" x14ac:dyDescent="0.25">
      <c r="A1232">
        <f t="shared" si="74"/>
        <v>245.99999999999457</v>
      </c>
      <c r="B1232" s="2">
        <f t="shared" si="76"/>
        <v>35.160000000000011</v>
      </c>
      <c r="C1232" s="2">
        <f t="shared" si="75"/>
        <v>0</v>
      </c>
    </row>
    <row r="1233" spans="1:3" x14ac:dyDescent="0.25">
      <c r="A1233">
        <f t="shared" si="74"/>
        <v>246.19999999999456</v>
      </c>
      <c r="B1233" s="2">
        <f t="shared" si="76"/>
        <v>35.160000000000011</v>
      </c>
      <c r="C1233" s="2">
        <f t="shared" si="75"/>
        <v>0</v>
      </c>
    </row>
    <row r="1234" spans="1:3" x14ac:dyDescent="0.25">
      <c r="A1234">
        <f t="shared" si="74"/>
        <v>246.39999999999455</v>
      </c>
      <c r="B1234" s="2">
        <f t="shared" si="76"/>
        <v>35.160000000000011</v>
      </c>
      <c r="C1234" s="2">
        <f t="shared" si="75"/>
        <v>0</v>
      </c>
    </row>
    <row r="1235" spans="1:3" x14ac:dyDescent="0.25">
      <c r="A1235">
        <f t="shared" si="74"/>
        <v>246.59999999999454</v>
      </c>
      <c r="B1235" s="2">
        <f t="shared" si="76"/>
        <v>35.160000000000011</v>
      </c>
      <c r="C1235" s="2">
        <f t="shared" si="75"/>
        <v>0</v>
      </c>
    </row>
    <row r="1236" spans="1:3" x14ac:dyDescent="0.25">
      <c r="A1236">
        <f t="shared" si="74"/>
        <v>246.79999999999453</v>
      </c>
      <c r="B1236" s="2">
        <f t="shared" si="76"/>
        <v>35.160000000000011</v>
      </c>
      <c r="C1236" s="2">
        <f t="shared" si="75"/>
        <v>0</v>
      </c>
    </row>
    <row r="1237" spans="1:3" x14ac:dyDescent="0.25">
      <c r="A1237">
        <f t="shared" si="74"/>
        <v>246.99999999999451</v>
      </c>
      <c r="B1237" s="2">
        <f t="shared" si="76"/>
        <v>35.160000000000011</v>
      </c>
      <c r="C1237" s="2">
        <f t="shared" si="75"/>
        <v>0</v>
      </c>
    </row>
    <row r="1238" spans="1:3" x14ac:dyDescent="0.25">
      <c r="A1238">
        <f t="shared" si="74"/>
        <v>247.1999999999945</v>
      </c>
      <c r="B1238" s="2">
        <f t="shared" si="76"/>
        <v>35.160000000000011</v>
      </c>
      <c r="C1238" s="2">
        <f t="shared" si="75"/>
        <v>0</v>
      </c>
    </row>
    <row r="1239" spans="1:3" x14ac:dyDescent="0.25">
      <c r="A1239">
        <f t="shared" si="74"/>
        <v>247.39999999999449</v>
      </c>
      <c r="B1239" s="2">
        <f t="shared" si="76"/>
        <v>35.160000000000011</v>
      </c>
      <c r="C1239" s="2">
        <f t="shared" si="75"/>
        <v>0</v>
      </c>
    </row>
    <row r="1240" spans="1:3" x14ac:dyDescent="0.25">
      <c r="A1240">
        <f t="shared" si="74"/>
        <v>247.59999999999448</v>
      </c>
      <c r="B1240" s="2">
        <f t="shared" si="76"/>
        <v>35.160000000000011</v>
      </c>
      <c r="C1240" s="2">
        <f t="shared" si="75"/>
        <v>0</v>
      </c>
    </row>
    <row r="1241" spans="1:3" x14ac:dyDescent="0.25">
      <c r="A1241">
        <f t="shared" si="74"/>
        <v>247.79999999999447</v>
      </c>
      <c r="B1241" s="2">
        <f t="shared" si="76"/>
        <v>35.160000000000011</v>
      </c>
      <c r="C1241" s="2">
        <f t="shared" si="75"/>
        <v>0</v>
      </c>
    </row>
    <row r="1242" spans="1:3" x14ac:dyDescent="0.25">
      <c r="A1242">
        <f t="shared" si="74"/>
        <v>247.99999999999446</v>
      </c>
      <c r="B1242" s="2">
        <f t="shared" si="76"/>
        <v>35.160000000000011</v>
      </c>
      <c r="C1242" s="2">
        <f t="shared" si="75"/>
        <v>0</v>
      </c>
    </row>
    <row r="1243" spans="1:3" x14ac:dyDescent="0.25">
      <c r="A1243">
        <f t="shared" si="74"/>
        <v>248.19999999999445</v>
      </c>
      <c r="B1243" s="2">
        <f t="shared" si="76"/>
        <v>35.160000000000011</v>
      </c>
      <c r="C1243" s="2">
        <f t="shared" si="75"/>
        <v>0</v>
      </c>
    </row>
    <row r="1244" spans="1:3" x14ac:dyDescent="0.25">
      <c r="A1244">
        <f t="shared" si="74"/>
        <v>248.39999999999444</v>
      </c>
      <c r="B1244" s="2">
        <f t="shared" si="76"/>
        <v>35.160000000000011</v>
      </c>
      <c r="C1244" s="2">
        <f t="shared" si="75"/>
        <v>0</v>
      </c>
    </row>
    <row r="1245" spans="1:3" x14ac:dyDescent="0.25">
      <c r="A1245">
        <f t="shared" si="74"/>
        <v>248.59999999999442</v>
      </c>
      <c r="B1245" s="2">
        <f t="shared" si="76"/>
        <v>35.160000000000011</v>
      </c>
      <c r="C1245" s="2">
        <f t="shared" si="75"/>
        <v>0</v>
      </c>
    </row>
    <row r="1246" spans="1:3" x14ac:dyDescent="0.25">
      <c r="A1246">
        <f t="shared" si="74"/>
        <v>248.79999999999441</v>
      </c>
      <c r="B1246" s="2">
        <f t="shared" si="76"/>
        <v>35.160000000000011</v>
      </c>
      <c r="C1246" s="2">
        <f t="shared" si="75"/>
        <v>0</v>
      </c>
    </row>
    <row r="1247" spans="1:3" x14ac:dyDescent="0.25">
      <c r="A1247">
        <f t="shared" si="74"/>
        <v>248.9999999999944</v>
      </c>
      <c r="B1247" s="2">
        <f t="shared" si="76"/>
        <v>35.160000000000011</v>
      </c>
      <c r="C1247" s="2">
        <f t="shared" si="75"/>
        <v>0</v>
      </c>
    </row>
    <row r="1248" spans="1:3" x14ac:dyDescent="0.25">
      <c r="A1248">
        <f t="shared" si="74"/>
        <v>249.19999999999439</v>
      </c>
      <c r="B1248" s="2">
        <f t="shared" si="76"/>
        <v>35.160000000000011</v>
      </c>
      <c r="C1248" s="2">
        <f t="shared" si="75"/>
        <v>0</v>
      </c>
    </row>
    <row r="1249" spans="1:3" x14ac:dyDescent="0.25">
      <c r="A1249">
        <f t="shared" si="74"/>
        <v>249.39999999999438</v>
      </c>
      <c r="B1249" s="2">
        <f t="shared" si="76"/>
        <v>35.160000000000011</v>
      </c>
      <c r="C1249" s="2">
        <f t="shared" si="75"/>
        <v>0</v>
      </c>
    </row>
    <row r="1250" spans="1:3" x14ac:dyDescent="0.25">
      <c r="A1250">
        <f t="shared" si="74"/>
        <v>249.59999999999437</v>
      </c>
      <c r="B1250" s="2">
        <f t="shared" si="76"/>
        <v>35.160000000000011</v>
      </c>
      <c r="C1250" s="2">
        <f t="shared" si="75"/>
        <v>0</v>
      </c>
    </row>
    <row r="1251" spans="1:3" x14ac:dyDescent="0.25">
      <c r="A1251">
        <f t="shared" si="74"/>
        <v>249.79999999999436</v>
      </c>
      <c r="B1251" s="2">
        <f t="shared" si="76"/>
        <v>35.160000000000011</v>
      </c>
      <c r="C1251" s="2">
        <f t="shared" si="75"/>
        <v>0</v>
      </c>
    </row>
    <row r="1252" spans="1:3" x14ac:dyDescent="0.25">
      <c r="A1252">
        <f t="shared" si="74"/>
        <v>249.99999999999434</v>
      </c>
      <c r="B1252" s="2">
        <f t="shared" si="76"/>
        <v>35.160000000000011</v>
      </c>
      <c r="C1252" s="2">
        <f t="shared" si="75"/>
        <v>0</v>
      </c>
    </row>
    <row r="1253" spans="1:3" x14ac:dyDescent="0.25">
      <c r="A1253">
        <f t="shared" si="74"/>
        <v>250.19999999999433</v>
      </c>
      <c r="B1253" s="2">
        <f t="shared" si="76"/>
        <v>35.160000000000011</v>
      </c>
      <c r="C1253" s="2">
        <f t="shared" si="75"/>
        <v>0</v>
      </c>
    </row>
    <row r="1254" spans="1:3" x14ac:dyDescent="0.25">
      <c r="A1254">
        <f t="shared" si="74"/>
        <v>250.39999999999432</v>
      </c>
      <c r="B1254" s="2">
        <f t="shared" si="76"/>
        <v>35.160000000000011</v>
      </c>
      <c r="C1254" s="2">
        <f t="shared" si="75"/>
        <v>0</v>
      </c>
    </row>
    <row r="1255" spans="1:3" x14ac:dyDescent="0.25">
      <c r="A1255">
        <f t="shared" si="74"/>
        <v>250.59999999999431</v>
      </c>
      <c r="B1255" s="2">
        <f t="shared" si="76"/>
        <v>35.160000000000011</v>
      </c>
      <c r="C1255" s="2">
        <f t="shared" si="75"/>
        <v>0</v>
      </c>
    </row>
    <row r="1256" spans="1:3" x14ac:dyDescent="0.25">
      <c r="A1256">
        <f t="shared" si="74"/>
        <v>250.7999999999943</v>
      </c>
      <c r="B1256" s="2">
        <f t="shared" si="76"/>
        <v>35.160000000000011</v>
      </c>
      <c r="C1256" s="2">
        <f t="shared" si="75"/>
        <v>0</v>
      </c>
    </row>
    <row r="1257" spans="1:3" x14ac:dyDescent="0.25">
      <c r="A1257">
        <f t="shared" si="74"/>
        <v>250.99999999999429</v>
      </c>
      <c r="B1257" s="2">
        <f t="shared" si="76"/>
        <v>35.160000000000011</v>
      </c>
      <c r="C1257" s="2">
        <f t="shared" si="75"/>
        <v>0</v>
      </c>
    </row>
    <row r="1258" spans="1:3" x14ac:dyDescent="0.25">
      <c r="A1258">
        <f t="shared" si="74"/>
        <v>251.19999999999428</v>
      </c>
      <c r="B1258" s="2">
        <f t="shared" si="76"/>
        <v>35.160000000000011</v>
      </c>
      <c r="C1258" s="2">
        <f t="shared" si="75"/>
        <v>0</v>
      </c>
    </row>
    <row r="1259" spans="1:3" x14ac:dyDescent="0.25">
      <c r="A1259">
        <f t="shared" si="74"/>
        <v>251.39999999999426</v>
      </c>
      <c r="B1259" s="2">
        <f t="shared" si="76"/>
        <v>35.160000000000011</v>
      </c>
      <c r="C1259" s="2">
        <f t="shared" si="75"/>
        <v>0</v>
      </c>
    </row>
    <row r="1260" spans="1:3" x14ac:dyDescent="0.25">
      <c r="A1260">
        <f t="shared" si="74"/>
        <v>251.59999999999425</v>
      </c>
      <c r="B1260" s="2">
        <f t="shared" si="76"/>
        <v>35.160000000000011</v>
      </c>
      <c r="C1260" s="2">
        <f t="shared" si="75"/>
        <v>0</v>
      </c>
    </row>
    <row r="1261" spans="1:3" x14ac:dyDescent="0.25">
      <c r="A1261">
        <f t="shared" si="74"/>
        <v>251.79999999999424</v>
      </c>
      <c r="B1261" s="2">
        <f t="shared" si="76"/>
        <v>35.160000000000011</v>
      </c>
      <c r="C1261" s="2">
        <f t="shared" si="75"/>
        <v>0</v>
      </c>
    </row>
    <row r="1262" spans="1:3" x14ac:dyDescent="0.25">
      <c r="A1262">
        <f t="shared" si="74"/>
        <v>251.99999999999423</v>
      </c>
      <c r="B1262" s="2">
        <f t="shared" si="76"/>
        <v>35.160000000000011</v>
      </c>
      <c r="C1262" s="2">
        <f t="shared" si="75"/>
        <v>0</v>
      </c>
    </row>
    <row r="1263" spans="1:3" x14ac:dyDescent="0.25">
      <c r="A1263">
        <f t="shared" ref="A1263:A1326" si="77">A1262+0.2</f>
        <v>252.19999999999422</v>
      </c>
      <c r="B1263" s="2">
        <f t="shared" si="76"/>
        <v>35.160000000000011</v>
      </c>
      <c r="C1263" s="2">
        <f t="shared" si="75"/>
        <v>0</v>
      </c>
    </row>
    <row r="1264" spans="1:3" x14ac:dyDescent="0.25">
      <c r="A1264">
        <f t="shared" si="77"/>
        <v>252.39999999999421</v>
      </c>
      <c r="B1264" s="2">
        <f t="shared" si="76"/>
        <v>35.160000000000011</v>
      </c>
      <c r="C1264" s="2">
        <f t="shared" si="75"/>
        <v>0</v>
      </c>
    </row>
    <row r="1265" spans="1:3" x14ac:dyDescent="0.25">
      <c r="A1265">
        <f t="shared" si="77"/>
        <v>252.5999999999942</v>
      </c>
      <c r="B1265" s="2">
        <f t="shared" si="76"/>
        <v>35.160000000000011</v>
      </c>
      <c r="C1265" s="2">
        <f t="shared" si="75"/>
        <v>0</v>
      </c>
    </row>
    <row r="1266" spans="1:3" x14ac:dyDescent="0.25">
      <c r="A1266">
        <f t="shared" si="77"/>
        <v>252.79999999999418</v>
      </c>
      <c r="B1266" s="2">
        <f t="shared" si="76"/>
        <v>35.160000000000011</v>
      </c>
      <c r="C1266" s="2">
        <f t="shared" si="75"/>
        <v>0</v>
      </c>
    </row>
    <row r="1267" spans="1:3" x14ac:dyDescent="0.25">
      <c r="A1267">
        <f t="shared" si="77"/>
        <v>252.99999999999417</v>
      </c>
      <c r="B1267" s="2">
        <f t="shared" si="76"/>
        <v>35.160000000000011</v>
      </c>
      <c r="C1267" s="2">
        <f t="shared" si="75"/>
        <v>0</v>
      </c>
    </row>
    <row r="1268" spans="1:3" x14ac:dyDescent="0.25">
      <c r="A1268">
        <f t="shared" si="77"/>
        <v>253.19999999999416</v>
      </c>
      <c r="B1268" s="2">
        <f t="shared" si="76"/>
        <v>35.160000000000011</v>
      </c>
      <c r="C1268" s="2">
        <f t="shared" si="75"/>
        <v>0</v>
      </c>
    </row>
    <row r="1269" spans="1:3" x14ac:dyDescent="0.25">
      <c r="A1269">
        <f t="shared" si="77"/>
        <v>253.39999999999415</v>
      </c>
      <c r="B1269" s="2">
        <f t="shared" si="76"/>
        <v>35.160000000000011</v>
      </c>
      <c r="C1269" s="2">
        <f t="shared" si="75"/>
        <v>0</v>
      </c>
    </row>
    <row r="1270" spans="1:3" x14ac:dyDescent="0.25">
      <c r="A1270">
        <f t="shared" si="77"/>
        <v>253.59999999999414</v>
      </c>
      <c r="B1270" s="2">
        <f t="shared" si="76"/>
        <v>35.160000000000011</v>
      </c>
      <c r="C1270" s="2">
        <f t="shared" si="75"/>
        <v>0</v>
      </c>
    </row>
    <row r="1271" spans="1:3" x14ac:dyDescent="0.25">
      <c r="A1271">
        <f t="shared" si="77"/>
        <v>253.79999999999413</v>
      </c>
      <c r="B1271" s="2">
        <f t="shared" si="76"/>
        <v>35.160000000000011</v>
      </c>
      <c r="C1271" s="2">
        <f t="shared" si="75"/>
        <v>0</v>
      </c>
    </row>
    <row r="1272" spans="1:3" x14ac:dyDescent="0.25">
      <c r="A1272">
        <f t="shared" si="77"/>
        <v>253.99999999999412</v>
      </c>
      <c r="B1272" s="2">
        <f t="shared" si="76"/>
        <v>35.160000000000011</v>
      </c>
      <c r="C1272" s="2">
        <f t="shared" si="75"/>
        <v>0</v>
      </c>
    </row>
    <row r="1273" spans="1:3" x14ac:dyDescent="0.25">
      <c r="A1273">
        <f t="shared" si="77"/>
        <v>254.19999999999411</v>
      </c>
      <c r="B1273" s="2">
        <f t="shared" si="76"/>
        <v>35.160000000000011</v>
      </c>
      <c r="C1273" s="2">
        <f t="shared" si="75"/>
        <v>0</v>
      </c>
    </row>
    <row r="1274" spans="1:3" x14ac:dyDescent="0.25">
      <c r="A1274">
        <f t="shared" si="77"/>
        <v>254.39999999999409</v>
      </c>
      <c r="B1274" s="2">
        <f t="shared" si="76"/>
        <v>35.160000000000011</v>
      </c>
      <c r="C1274" s="2">
        <f t="shared" si="75"/>
        <v>0</v>
      </c>
    </row>
    <row r="1275" spans="1:3" x14ac:dyDescent="0.25">
      <c r="A1275">
        <f t="shared" si="77"/>
        <v>254.59999999999408</v>
      </c>
      <c r="B1275" s="2">
        <f t="shared" si="76"/>
        <v>35.160000000000011</v>
      </c>
      <c r="C1275" s="2">
        <f t="shared" si="75"/>
        <v>0</v>
      </c>
    </row>
    <row r="1276" spans="1:3" x14ac:dyDescent="0.25">
      <c r="A1276">
        <f t="shared" si="77"/>
        <v>254.79999999999407</v>
      </c>
      <c r="B1276" s="2">
        <f t="shared" si="76"/>
        <v>35.160000000000011</v>
      </c>
      <c r="C1276" s="2">
        <f t="shared" si="75"/>
        <v>0</v>
      </c>
    </row>
    <row r="1277" spans="1:3" x14ac:dyDescent="0.25">
      <c r="A1277">
        <f t="shared" si="77"/>
        <v>254.99999999999406</v>
      </c>
      <c r="B1277" s="2">
        <f t="shared" si="76"/>
        <v>35.160000000000011</v>
      </c>
      <c r="C1277" s="2">
        <f t="shared" si="75"/>
        <v>0</v>
      </c>
    </row>
    <row r="1278" spans="1:3" x14ac:dyDescent="0.25">
      <c r="A1278">
        <f t="shared" si="77"/>
        <v>255.19999999999405</v>
      </c>
      <c r="B1278" s="2">
        <f t="shared" si="76"/>
        <v>35.160000000000011</v>
      </c>
      <c r="C1278" s="2">
        <f t="shared" si="75"/>
        <v>0.95999999999999985</v>
      </c>
    </row>
    <row r="1279" spans="1:3" x14ac:dyDescent="0.25">
      <c r="A1279">
        <f t="shared" si="77"/>
        <v>255.39999999999404</v>
      </c>
      <c r="B1279" s="2">
        <f t="shared" si="76"/>
        <v>36.120000000000012</v>
      </c>
      <c r="C1279" s="2">
        <f t="shared" si="75"/>
        <v>0.95999999999999985</v>
      </c>
    </row>
    <row r="1280" spans="1:3" x14ac:dyDescent="0.25">
      <c r="A1280">
        <f t="shared" si="77"/>
        <v>255.59999999999403</v>
      </c>
      <c r="B1280" s="2">
        <f t="shared" si="76"/>
        <v>37.080000000000013</v>
      </c>
      <c r="C1280" s="2">
        <f t="shared" si="75"/>
        <v>0.95999999999999985</v>
      </c>
    </row>
    <row r="1281" spans="1:3" x14ac:dyDescent="0.25">
      <c r="A1281">
        <f t="shared" si="77"/>
        <v>255.79999999999401</v>
      </c>
      <c r="B1281" s="2">
        <f t="shared" si="76"/>
        <v>38.040000000000013</v>
      </c>
      <c r="C1281" s="2">
        <f t="shared" si="75"/>
        <v>0.95999999999999985</v>
      </c>
    </row>
    <row r="1282" spans="1:3" x14ac:dyDescent="0.25">
      <c r="A1282">
        <f t="shared" si="77"/>
        <v>255.999999999994</v>
      </c>
      <c r="B1282" s="2">
        <f t="shared" si="76"/>
        <v>39.000000000000014</v>
      </c>
      <c r="C1282" s="2">
        <f t="shared" si="75"/>
        <v>0.95999999999999985</v>
      </c>
    </row>
    <row r="1283" spans="1:3" x14ac:dyDescent="0.25">
      <c r="A1283">
        <f t="shared" si="77"/>
        <v>256.19999999999402</v>
      </c>
      <c r="B1283" s="2">
        <f t="shared" si="76"/>
        <v>39.960000000000015</v>
      </c>
      <c r="C1283" s="2">
        <f t="shared" ref="C1283:C1346" si="78">INDEX($K$3:$K$40,MATCH(A1283,$H$2:$H$40,1))</f>
        <v>0.95999999999999985</v>
      </c>
    </row>
    <row r="1284" spans="1:3" x14ac:dyDescent="0.25">
      <c r="A1284">
        <f t="shared" si="77"/>
        <v>256.39999999999401</v>
      </c>
      <c r="B1284" s="2">
        <f t="shared" ref="B1284:B1347" si="79">B1283+C1283</f>
        <v>40.920000000000016</v>
      </c>
      <c r="C1284" s="2">
        <f t="shared" si="78"/>
        <v>0.95999999999999985</v>
      </c>
    </row>
    <row r="1285" spans="1:3" x14ac:dyDescent="0.25">
      <c r="A1285">
        <f t="shared" si="77"/>
        <v>256.599999999994</v>
      </c>
      <c r="B1285" s="2">
        <f t="shared" si="79"/>
        <v>41.880000000000017</v>
      </c>
      <c r="C1285" s="2">
        <f t="shared" si="78"/>
        <v>0.95999999999999985</v>
      </c>
    </row>
    <row r="1286" spans="1:3" x14ac:dyDescent="0.25">
      <c r="A1286">
        <f t="shared" si="77"/>
        <v>256.79999999999399</v>
      </c>
      <c r="B1286" s="2">
        <f t="shared" si="79"/>
        <v>42.840000000000018</v>
      </c>
      <c r="C1286" s="2">
        <f t="shared" si="78"/>
        <v>0.95999999999999985</v>
      </c>
    </row>
    <row r="1287" spans="1:3" x14ac:dyDescent="0.25">
      <c r="A1287">
        <f t="shared" si="77"/>
        <v>256.99999999999397</v>
      </c>
      <c r="B1287" s="2">
        <f t="shared" si="79"/>
        <v>43.800000000000018</v>
      </c>
      <c r="C1287" s="2">
        <f t="shared" si="78"/>
        <v>0.95999999999999985</v>
      </c>
    </row>
    <row r="1288" spans="1:3" x14ac:dyDescent="0.25">
      <c r="A1288">
        <f t="shared" si="77"/>
        <v>257.19999999999396</v>
      </c>
      <c r="B1288" s="2">
        <f t="shared" si="79"/>
        <v>44.760000000000019</v>
      </c>
      <c r="C1288" s="2">
        <f t="shared" si="78"/>
        <v>0.95999999999999985</v>
      </c>
    </row>
    <row r="1289" spans="1:3" x14ac:dyDescent="0.25">
      <c r="A1289">
        <f t="shared" si="77"/>
        <v>257.39999999999395</v>
      </c>
      <c r="B1289" s="2">
        <f t="shared" si="79"/>
        <v>45.72000000000002</v>
      </c>
      <c r="C1289" s="2">
        <f t="shared" si="78"/>
        <v>0.95999999999999985</v>
      </c>
    </row>
    <row r="1290" spans="1:3" x14ac:dyDescent="0.25">
      <c r="A1290">
        <f t="shared" si="77"/>
        <v>257.59999999999394</v>
      </c>
      <c r="B1290" s="2">
        <f t="shared" si="79"/>
        <v>46.680000000000021</v>
      </c>
      <c r="C1290" s="2">
        <f t="shared" si="78"/>
        <v>0.95999999999999985</v>
      </c>
    </row>
    <row r="1291" spans="1:3" x14ac:dyDescent="0.25">
      <c r="A1291">
        <f t="shared" si="77"/>
        <v>257.79999999999393</v>
      </c>
      <c r="B1291" s="2">
        <f t="shared" si="79"/>
        <v>47.640000000000022</v>
      </c>
      <c r="C1291" s="2">
        <f t="shared" si="78"/>
        <v>0.95999999999999985</v>
      </c>
    </row>
    <row r="1292" spans="1:3" x14ac:dyDescent="0.25">
      <c r="A1292">
        <f t="shared" si="77"/>
        <v>257.99999999999392</v>
      </c>
      <c r="B1292" s="2">
        <f t="shared" si="79"/>
        <v>48.600000000000023</v>
      </c>
      <c r="C1292" s="2">
        <f t="shared" si="78"/>
        <v>0.95999999999999985</v>
      </c>
    </row>
    <row r="1293" spans="1:3" x14ac:dyDescent="0.25">
      <c r="A1293">
        <f t="shared" si="77"/>
        <v>258.19999999999391</v>
      </c>
      <c r="B1293" s="2">
        <f t="shared" si="79"/>
        <v>49.560000000000024</v>
      </c>
      <c r="C1293" s="2">
        <f t="shared" si="78"/>
        <v>0.95999999999999985</v>
      </c>
    </row>
    <row r="1294" spans="1:3" x14ac:dyDescent="0.25">
      <c r="A1294">
        <f t="shared" si="77"/>
        <v>258.3999999999939</v>
      </c>
      <c r="B1294" s="2">
        <f t="shared" si="79"/>
        <v>50.520000000000024</v>
      </c>
      <c r="C1294" s="2">
        <f t="shared" si="78"/>
        <v>0.95999999999999985</v>
      </c>
    </row>
    <row r="1295" spans="1:3" x14ac:dyDescent="0.25">
      <c r="A1295">
        <f t="shared" si="77"/>
        <v>258.59999999999388</v>
      </c>
      <c r="B1295" s="2">
        <f t="shared" si="79"/>
        <v>51.480000000000025</v>
      </c>
      <c r="C1295" s="2">
        <f t="shared" si="78"/>
        <v>0.95999999999999985</v>
      </c>
    </row>
    <row r="1296" spans="1:3" x14ac:dyDescent="0.25">
      <c r="A1296">
        <f t="shared" si="77"/>
        <v>258.79999999999387</v>
      </c>
      <c r="B1296" s="2">
        <f t="shared" si="79"/>
        <v>52.440000000000026</v>
      </c>
      <c r="C1296" s="2">
        <f t="shared" si="78"/>
        <v>0.95999999999999985</v>
      </c>
    </row>
    <row r="1297" spans="1:3" x14ac:dyDescent="0.25">
      <c r="A1297">
        <f t="shared" si="77"/>
        <v>258.99999999999386</v>
      </c>
      <c r="B1297" s="2">
        <f t="shared" si="79"/>
        <v>53.400000000000027</v>
      </c>
      <c r="C1297" s="2">
        <f t="shared" si="78"/>
        <v>0.95999999999999985</v>
      </c>
    </row>
    <row r="1298" spans="1:3" x14ac:dyDescent="0.25">
      <c r="A1298">
        <f t="shared" si="77"/>
        <v>259.19999999999385</v>
      </c>
      <c r="B1298" s="2">
        <f t="shared" si="79"/>
        <v>54.360000000000028</v>
      </c>
      <c r="C1298" s="2">
        <f t="shared" si="78"/>
        <v>0.95999999999999985</v>
      </c>
    </row>
    <row r="1299" spans="1:3" x14ac:dyDescent="0.25">
      <c r="A1299">
        <f t="shared" si="77"/>
        <v>259.39999999999384</v>
      </c>
      <c r="B1299" s="2">
        <f t="shared" si="79"/>
        <v>55.320000000000029</v>
      </c>
      <c r="C1299" s="2">
        <f t="shared" si="78"/>
        <v>0.95999999999999985</v>
      </c>
    </row>
    <row r="1300" spans="1:3" x14ac:dyDescent="0.25">
      <c r="A1300">
        <f t="shared" si="77"/>
        <v>259.59999999999383</v>
      </c>
      <c r="B1300" s="2">
        <f t="shared" si="79"/>
        <v>56.28000000000003</v>
      </c>
      <c r="C1300" s="2">
        <f t="shared" si="78"/>
        <v>0.95999999999999985</v>
      </c>
    </row>
    <row r="1301" spans="1:3" x14ac:dyDescent="0.25">
      <c r="A1301">
        <f t="shared" si="77"/>
        <v>259.79999999999382</v>
      </c>
      <c r="B1301" s="2">
        <f t="shared" si="79"/>
        <v>57.24000000000003</v>
      </c>
      <c r="C1301" s="2">
        <f t="shared" si="78"/>
        <v>0.95999999999999985</v>
      </c>
    </row>
    <row r="1302" spans="1:3" x14ac:dyDescent="0.25">
      <c r="A1302">
        <f t="shared" si="77"/>
        <v>259.9999999999938</v>
      </c>
      <c r="B1302" s="2">
        <f t="shared" si="79"/>
        <v>58.200000000000031</v>
      </c>
      <c r="C1302" s="2">
        <f t="shared" si="78"/>
        <v>0.95999999999999985</v>
      </c>
    </row>
    <row r="1303" spans="1:3" x14ac:dyDescent="0.25">
      <c r="A1303">
        <f t="shared" si="77"/>
        <v>260.19999999999379</v>
      </c>
      <c r="B1303" s="2">
        <f t="shared" si="79"/>
        <v>59.160000000000032</v>
      </c>
      <c r="C1303" s="2">
        <f t="shared" si="78"/>
        <v>0.95999999999999985</v>
      </c>
    </row>
    <row r="1304" spans="1:3" x14ac:dyDescent="0.25">
      <c r="A1304">
        <f t="shared" si="77"/>
        <v>260.39999999999378</v>
      </c>
      <c r="B1304" s="2">
        <f t="shared" si="79"/>
        <v>60.120000000000033</v>
      </c>
      <c r="C1304" s="2">
        <f t="shared" si="78"/>
        <v>0.95999999999999985</v>
      </c>
    </row>
    <row r="1305" spans="1:3" x14ac:dyDescent="0.25">
      <c r="A1305">
        <f t="shared" si="77"/>
        <v>260.59999999999377</v>
      </c>
      <c r="B1305" s="2">
        <f t="shared" si="79"/>
        <v>61.080000000000034</v>
      </c>
      <c r="C1305" s="2">
        <f t="shared" si="78"/>
        <v>0.95999999999999985</v>
      </c>
    </row>
    <row r="1306" spans="1:3" x14ac:dyDescent="0.25">
      <c r="A1306">
        <f t="shared" si="77"/>
        <v>260.79999999999376</v>
      </c>
      <c r="B1306" s="2">
        <f t="shared" si="79"/>
        <v>62.040000000000035</v>
      </c>
      <c r="C1306" s="2">
        <f t="shared" si="78"/>
        <v>0.95999999999999985</v>
      </c>
    </row>
    <row r="1307" spans="1:3" x14ac:dyDescent="0.25">
      <c r="A1307">
        <f t="shared" si="77"/>
        <v>260.99999999999375</v>
      </c>
      <c r="B1307" s="2">
        <f t="shared" si="79"/>
        <v>63.000000000000036</v>
      </c>
      <c r="C1307" s="2">
        <f t="shared" si="78"/>
        <v>0.95999999999999985</v>
      </c>
    </row>
    <row r="1308" spans="1:3" x14ac:dyDescent="0.25">
      <c r="A1308">
        <f t="shared" si="77"/>
        <v>261.19999999999374</v>
      </c>
      <c r="B1308" s="2">
        <f t="shared" si="79"/>
        <v>63.960000000000036</v>
      </c>
      <c r="C1308" s="2">
        <f t="shared" si="78"/>
        <v>0.95999999999999985</v>
      </c>
    </row>
    <row r="1309" spans="1:3" x14ac:dyDescent="0.25">
      <c r="A1309">
        <f t="shared" si="77"/>
        <v>261.39999999999372</v>
      </c>
      <c r="B1309" s="2">
        <f t="shared" si="79"/>
        <v>64.92000000000003</v>
      </c>
      <c r="C1309" s="2">
        <f t="shared" si="78"/>
        <v>0.95999999999999985</v>
      </c>
    </row>
    <row r="1310" spans="1:3" x14ac:dyDescent="0.25">
      <c r="A1310">
        <f t="shared" si="77"/>
        <v>261.59999999999371</v>
      </c>
      <c r="B1310" s="2">
        <f t="shared" si="79"/>
        <v>65.880000000000024</v>
      </c>
      <c r="C1310" s="2">
        <f t="shared" si="78"/>
        <v>0.95999999999999985</v>
      </c>
    </row>
    <row r="1311" spans="1:3" x14ac:dyDescent="0.25">
      <c r="A1311">
        <f t="shared" si="77"/>
        <v>261.7999999999937</v>
      </c>
      <c r="B1311" s="2">
        <f t="shared" si="79"/>
        <v>66.840000000000018</v>
      </c>
      <c r="C1311" s="2">
        <f t="shared" si="78"/>
        <v>0.95999999999999985</v>
      </c>
    </row>
    <row r="1312" spans="1:3" x14ac:dyDescent="0.25">
      <c r="A1312">
        <f t="shared" si="77"/>
        <v>261.99999999999369</v>
      </c>
      <c r="B1312" s="2">
        <f t="shared" si="79"/>
        <v>67.800000000000011</v>
      </c>
      <c r="C1312" s="2">
        <f t="shared" si="78"/>
        <v>0.95999999999999985</v>
      </c>
    </row>
    <row r="1313" spans="1:3" x14ac:dyDescent="0.25">
      <c r="A1313">
        <f t="shared" si="77"/>
        <v>262.19999999999368</v>
      </c>
      <c r="B1313" s="2">
        <f t="shared" si="79"/>
        <v>68.760000000000005</v>
      </c>
      <c r="C1313" s="2">
        <f t="shared" si="78"/>
        <v>0.95999999999999985</v>
      </c>
    </row>
    <row r="1314" spans="1:3" x14ac:dyDescent="0.25">
      <c r="A1314">
        <f t="shared" si="77"/>
        <v>262.39999999999367</v>
      </c>
      <c r="B1314" s="2">
        <f t="shared" si="79"/>
        <v>69.72</v>
      </c>
      <c r="C1314" s="2">
        <f t="shared" si="78"/>
        <v>0.95999999999999985</v>
      </c>
    </row>
    <row r="1315" spans="1:3" x14ac:dyDescent="0.25">
      <c r="A1315">
        <f t="shared" si="77"/>
        <v>262.59999999999366</v>
      </c>
      <c r="B1315" s="2">
        <f t="shared" si="79"/>
        <v>70.679999999999993</v>
      </c>
      <c r="C1315" s="2">
        <f t="shared" si="78"/>
        <v>0.95999999999999985</v>
      </c>
    </row>
    <row r="1316" spans="1:3" x14ac:dyDescent="0.25">
      <c r="A1316">
        <f t="shared" si="77"/>
        <v>262.79999999999364</v>
      </c>
      <c r="B1316" s="2">
        <f t="shared" si="79"/>
        <v>71.639999999999986</v>
      </c>
      <c r="C1316" s="2">
        <f t="shared" si="78"/>
        <v>0.95999999999999985</v>
      </c>
    </row>
    <row r="1317" spans="1:3" x14ac:dyDescent="0.25">
      <c r="A1317">
        <f t="shared" si="77"/>
        <v>262.99999999999363</v>
      </c>
      <c r="B1317" s="2">
        <f t="shared" si="79"/>
        <v>72.59999999999998</v>
      </c>
      <c r="C1317" s="2">
        <f t="shared" si="78"/>
        <v>0.95999999999999985</v>
      </c>
    </row>
    <row r="1318" spans="1:3" x14ac:dyDescent="0.25">
      <c r="A1318">
        <f t="shared" si="77"/>
        <v>263.19999999999362</v>
      </c>
      <c r="B1318" s="2">
        <f t="shared" si="79"/>
        <v>73.559999999999974</v>
      </c>
      <c r="C1318" s="2">
        <f t="shared" si="78"/>
        <v>0.95999999999999985</v>
      </c>
    </row>
    <row r="1319" spans="1:3" x14ac:dyDescent="0.25">
      <c r="A1319">
        <f t="shared" si="77"/>
        <v>263.39999999999361</v>
      </c>
      <c r="B1319" s="2">
        <f t="shared" si="79"/>
        <v>74.519999999999968</v>
      </c>
      <c r="C1319" s="2">
        <f t="shared" si="78"/>
        <v>0.95999999999999985</v>
      </c>
    </row>
    <row r="1320" spans="1:3" x14ac:dyDescent="0.25">
      <c r="A1320">
        <f t="shared" si="77"/>
        <v>263.5999999999936</v>
      </c>
      <c r="B1320" s="2">
        <f t="shared" si="79"/>
        <v>75.479999999999961</v>
      </c>
      <c r="C1320" s="2">
        <f t="shared" si="78"/>
        <v>0.95999999999999985</v>
      </c>
    </row>
    <row r="1321" spans="1:3" x14ac:dyDescent="0.25">
      <c r="A1321">
        <f t="shared" si="77"/>
        <v>263.79999999999359</v>
      </c>
      <c r="B1321" s="2">
        <f t="shared" si="79"/>
        <v>76.439999999999955</v>
      </c>
      <c r="C1321" s="2">
        <f t="shared" si="78"/>
        <v>0.95999999999999985</v>
      </c>
    </row>
    <row r="1322" spans="1:3" x14ac:dyDescent="0.25">
      <c r="A1322">
        <f t="shared" si="77"/>
        <v>263.99999999999358</v>
      </c>
      <c r="B1322" s="2">
        <f t="shared" si="79"/>
        <v>77.399999999999949</v>
      </c>
      <c r="C1322" s="2">
        <f t="shared" si="78"/>
        <v>0.95999999999999985</v>
      </c>
    </row>
    <row r="1323" spans="1:3" x14ac:dyDescent="0.25">
      <c r="A1323">
        <f t="shared" si="77"/>
        <v>264.19999999999357</v>
      </c>
      <c r="B1323" s="2">
        <f t="shared" si="79"/>
        <v>78.359999999999943</v>
      </c>
      <c r="C1323" s="2">
        <f t="shared" si="78"/>
        <v>0.95999999999999985</v>
      </c>
    </row>
    <row r="1324" spans="1:3" x14ac:dyDescent="0.25">
      <c r="A1324">
        <f t="shared" si="77"/>
        <v>264.39999999999355</v>
      </c>
      <c r="B1324" s="2">
        <f t="shared" si="79"/>
        <v>79.319999999999936</v>
      </c>
      <c r="C1324" s="2">
        <f t="shared" si="78"/>
        <v>0.95999999999999985</v>
      </c>
    </row>
    <row r="1325" spans="1:3" x14ac:dyDescent="0.25">
      <c r="A1325">
        <f t="shared" si="77"/>
        <v>264.59999999999354</v>
      </c>
      <c r="B1325" s="2">
        <f t="shared" si="79"/>
        <v>80.27999999999993</v>
      </c>
      <c r="C1325" s="2">
        <f t="shared" si="78"/>
        <v>0.95999999999999985</v>
      </c>
    </row>
    <row r="1326" spans="1:3" x14ac:dyDescent="0.25">
      <c r="A1326">
        <f t="shared" si="77"/>
        <v>264.79999999999353</v>
      </c>
      <c r="B1326" s="2">
        <f t="shared" si="79"/>
        <v>81.239999999999924</v>
      </c>
      <c r="C1326" s="2">
        <f t="shared" si="78"/>
        <v>0.95999999999999985</v>
      </c>
    </row>
    <row r="1327" spans="1:3" x14ac:dyDescent="0.25">
      <c r="A1327">
        <f t="shared" ref="A1327:A1390" si="80">A1326+0.2</f>
        <v>264.99999999999352</v>
      </c>
      <c r="B1327" s="2">
        <f t="shared" si="79"/>
        <v>82.199999999999918</v>
      </c>
      <c r="C1327" s="2">
        <f t="shared" si="78"/>
        <v>0.95999999999999985</v>
      </c>
    </row>
    <row r="1328" spans="1:3" x14ac:dyDescent="0.25">
      <c r="A1328">
        <f t="shared" si="80"/>
        <v>265.19999999999351</v>
      </c>
      <c r="B1328" s="2">
        <f t="shared" si="79"/>
        <v>83.159999999999911</v>
      </c>
      <c r="C1328" s="2">
        <f t="shared" si="78"/>
        <v>0.95999999999999985</v>
      </c>
    </row>
    <row r="1329" spans="1:3" x14ac:dyDescent="0.25">
      <c r="A1329">
        <f t="shared" si="80"/>
        <v>265.3999999999935</v>
      </c>
      <c r="B1329" s="2">
        <f t="shared" si="79"/>
        <v>84.119999999999905</v>
      </c>
      <c r="C1329" s="2">
        <f t="shared" si="78"/>
        <v>0.95999999999999985</v>
      </c>
    </row>
    <row r="1330" spans="1:3" x14ac:dyDescent="0.25">
      <c r="A1330">
        <f t="shared" si="80"/>
        <v>265.59999999999349</v>
      </c>
      <c r="B1330" s="2">
        <f t="shared" si="79"/>
        <v>85.079999999999899</v>
      </c>
      <c r="C1330" s="2">
        <f t="shared" si="78"/>
        <v>0.95999999999999985</v>
      </c>
    </row>
    <row r="1331" spans="1:3" x14ac:dyDescent="0.25">
      <c r="A1331">
        <f t="shared" si="80"/>
        <v>265.79999999999347</v>
      </c>
      <c r="B1331" s="2">
        <f t="shared" si="79"/>
        <v>86.039999999999893</v>
      </c>
      <c r="C1331" s="2">
        <f t="shared" si="78"/>
        <v>0.95999999999999985</v>
      </c>
    </row>
    <row r="1332" spans="1:3" x14ac:dyDescent="0.25">
      <c r="A1332">
        <f t="shared" si="80"/>
        <v>265.99999999999346</v>
      </c>
      <c r="B1332" s="2">
        <f t="shared" si="79"/>
        <v>86.999999999999886</v>
      </c>
      <c r="C1332" s="2">
        <f t="shared" si="78"/>
        <v>0.95999999999999985</v>
      </c>
    </row>
    <row r="1333" spans="1:3" x14ac:dyDescent="0.25">
      <c r="A1333">
        <f t="shared" si="80"/>
        <v>266.19999999999345</v>
      </c>
      <c r="B1333" s="2">
        <f t="shared" si="79"/>
        <v>87.95999999999988</v>
      </c>
      <c r="C1333" s="2">
        <f t="shared" si="78"/>
        <v>0.95999999999999985</v>
      </c>
    </row>
    <row r="1334" spans="1:3" x14ac:dyDescent="0.25">
      <c r="A1334">
        <f t="shared" si="80"/>
        <v>266.39999999999344</v>
      </c>
      <c r="B1334" s="2">
        <f t="shared" si="79"/>
        <v>88.919999999999874</v>
      </c>
      <c r="C1334" s="2">
        <f t="shared" si="78"/>
        <v>0.95999999999999985</v>
      </c>
    </row>
    <row r="1335" spans="1:3" x14ac:dyDescent="0.25">
      <c r="A1335">
        <f t="shared" si="80"/>
        <v>266.59999999999343</v>
      </c>
      <c r="B1335" s="2">
        <f t="shared" si="79"/>
        <v>89.879999999999868</v>
      </c>
      <c r="C1335" s="2">
        <f t="shared" si="78"/>
        <v>0.95999999999999985</v>
      </c>
    </row>
    <row r="1336" spans="1:3" x14ac:dyDescent="0.25">
      <c r="A1336">
        <f t="shared" si="80"/>
        <v>266.79999999999342</v>
      </c>
      <c r="B1336" s="2">
        <f t="shared" si="79"/>
        <v>90.839999999999861</v>
      </c>
      <c r="C1336" s="2">
        <f t="shared" si="78"/>
        <v>0.95999999999999985</v>
      </c>
    </row>
    <row r="1337" spans="1:3" x14ac:dyDescent="0.25">
      <c r="A1337">
        <f t="shared" si="80"/>
        <v>266.99999999999341</v>
      </c>
      <c r="B1337" s="2">
        <f t="shared" si="79"/>
        <v>91.799999999999855</v>
      </c>
      <c r="C1337" s="2">
        <f t="shared" si="78"/>
        <v>0.95999999999999985</v>
      </c>
    </row>
    <row r="1338" spans="1:3" x14ac:dyDescent="0.25">
      <c r="A1338">
        <f t="shared" si="80"/>
        <v>267.19999999999339</v>
      </c>
      <c r="B1338" s="2">
        <f t="shared" si="79"/>
        <v>92.759999999999849</v>
      </c>
      <c r="C1338" s="2">
        <f t="shared" si="78"/>
        <v>0.95999999999999985</v>
      </c>
    </row>
    <row r="1339" spans="1:3" x14ac:dyDescent="0.25">
      <c r="A1339">
        <f t="shared" si="80"/>
        <v>267.39999999999338</v>
      </c>
      <c r="B1339" s="2">
        <f t="shared" si="79"/>
        <v>93.719999999999843</v>
      </c>
      <c r="C1339" s="2">
        <f t="shared" si="78"/>
        <v>0.95999999999999985</v>
      </c>
    </row>
    <row r="1340" spans="1:3" x14ac:dyDescent="0.25">
      <c r="A1340">
        <f t="shared" si="80"/>
        <v>267.59999999999337</v>
      </c>
      <c r="B1340" s="2">
        <f t="shared" si="79"/>
        <v>94.679999999999836</v>
      </c>
      <c r="C1340" s="2">
        <f t="shared" si="78"/>
        <v>0.95999999999999985</v>
      </c>
    </row>
    <row r="1341" spans="1:3" x14ac:dyDescent="0.25">
      <c r="A1341">
        <f t="shared" si="80"/>
        <v>267.79999999999336</v>
      </c>
      <c r="B1341" s="2">
        <f t="shared" si="79"/>
        <v>95.63999999999983</v>
      </c>
      <c r="C1341" s="2">
        <f t="shared" si="78"/>
        <v>0.95999999999999985</v>
      </c>
    </row>
    <row r="1342" spans="1:3" x14ac:dyDescent="0.25">
      <c r="A1342">
        <f t="shared" si="80"/>
        <v>267.99999999999335</v>
      </c>
      <c r="B1342" s="2">
        <f t="shared" si="79"/>
        <v>96.599999999999824</v>
      </c>
      <c r="C1342" s="2">
        <f t="shared" si="78"/>
        <v>0.95999999999999985</v>
      </c>
    </row>
    <row r="1343" spans="1:3" x14ac:dyDescent="0.25">
      <c r="A1343">
        <f t="shared" si="80"/>
        <v>268.19999999999334</v>
      </c>
      <c r="B1343" s="2">
        <f t="shared" si="79"/>
        <v>97.559999999999818</v>
      </c>
      <c r="C1343" s="2">
        <f t="shared" si="78"/>
        <v>0.95999999999999985</v>
      </c>
    </row>
    <row r="1344" spans="1:3" x14ac:dyDescent="0.25">
      <c r="A1344">
        <f t="shared" si="80"/>
        <v>268.39999999999333</v>
      </c>
      <c r="B1344" s="2">
        <f t="shared" si="79"/>
        <v>98.519999999999811</v>
      </c>
      <c r="C1344" s="2">
        <f t="shared" si="78"/>
        <v>0.95999999999999985</v>
      </c>
    </row>
    <row r="1345" spans="1:3" x14ac:dyDescent="0.25">
      <c r="A1345">
        <f t="shared" si="80"/>
        <v>268.59999999999332</v>
      </c>
      <c r="B1345" s="2">
        <f t="shared" si="79"/>
        <v>99.479999999999805</v>
      </c>
      <c r="C1345" s="2">
        <f t="shared" si="78"/>
        <v>0.95999999999999985</v>
      </c>
    </row>
    <row r="1346" spans="1:3" x14ac:dyDescent="0.25">
      <c r="A1346">
        <f t="shared" si="80"/>
        <v>268.7999999999933</v>
      </c>
      <c r="B1346" s="2">
        <f t="shared" si="79"/>
        <v>100.4399999999998</v>
      </c>
      <c r="C1346" s="2">
        <f t="shared" si="78"/>
        <v>0.95999999999999985</v>
      </c>
    </row>
    <row r="1347" spans="1:3" x14ac:dyDescent="0.25">
      <c r="A1347">
        <f t="shared" si="80"/>
        <v>268.99999999999329</v>
      </c>
      <c r="B1347" s="2">
        <f t="shared" si="79"/>
        <v>101.39999999999979</v>
      </c>
      <c r="C1347" s="2">
        <f t="shared" ref="C1347:C1410" si="81">INDEX($K$3:$K$40,MATCH(A1347,$H$2:$H$40,1))</f>
        <v>0.95999999999999985</v>
      </c>
    </row>
    <row r="1348" spans="1:3" x14ac:dyDescent="0.25">
      <c r="A1348">
        <f t="shared" si="80"/>
        <v>269.19999999999328</v>
      </c>
      <c r="B1348" s="2">
        <f t="shared" ref="B1348:B1411" si="82">B1347+C1347</f>
        <v>102.35999999999979</v>
      </c>
      <c r="C1348" s="2">
        <f t="shared" si="81"/>
        <v>0.95999999999999985</v>
      </c>
    </row>
    <row r="1349" spans="1:3" x14ac:dyDescent="0.25">
      <c r="A1349">
        <f t="shared" si="80"/>
        <v>269.39999999999327</v>
      </c>
      <c r="B1349" s="2">
        <f t="shared" si="82"/>
        <v>103.31999999999978</v>
      </c>
      <c r="C1349" s="2">
        <f t="shared" si="81"/>
        <v>0.95999999999999985</v>
      </c>
    </row>
    <row r="1350" spans="1:3" x14ac:dyDescent="0.25">
      <c r="A1350">
        <f t="shared" si="80"/>
        <v>269.59999999999326</v>
      </c>
      <c r="B1350" s="2">
        <f t="shared" si="82"/>
        <v>104.27999999999977</v>
      </c>
      <c r="C1350" s="2">
        <f t="shared" si="81"/>
        <v>0.95999999999999985</v>
      </c>
    </row>
    <row r="1351" spans="1:3" x14ac:dyDescent="0.25">
      <c r="A1351">
        <f t="shared" si="80"/>
        <v>269.79999999999325</v>
      </c>
      <c r="B1351" s="2">
        <f t="shared" si="82"/>
        <v>105.23999999999977</v>
      </c>
      <c r="C1351" s="2">
        <f t="shared" si="81"/>
        <v>0.95999999999999985</v>
      </c>
    </row>
    <row r="1352" spans="1:3" x14ac:dyDescent="0.25">
      <c r="A1352">
        <f t="shared" si="80"/>
        <v>269.99999999999324</v>
      </c>
      <c r="B1352" s="2">
        <f t="shared" si="82"/>
        <v>106.19999999999976</v>
      </c>
      <c r="C1352" s="2">
        <f t="shared" si="81"/>
        <v>0.95999999999999985</v>
      </c>
    </row>
    <row r="1353" spans="1:3" x14ac:dyDescent="0.25">
      <c r="A1353">
        <f t="shared" si="80"/>
        <v>270.19999999999322</v>
      </c>
      <c r="B1353" s="2">
        <f t="shared" si="82"/>
        <v>107.15999999999976</v>
      </c>
      <c r="C1353" s="2">
        <f t="shared" si="81"/>
        <v>0</v>
      </c>
    </row>
    <row r="1354" spans="1:3" x14ac:dyDescent="0.25">
      <c r="A1354">
        <f t="shared" si="80"/>
        <v>270.39999999999321</v>
      </c>
      <c r="B1354" s="2">
        <f t="shared" si="82"/>
        <v>107.15999999999976</v>
      </c>
      <c r="C1354" s="2">
        <f t="shared" si="81"/>
        <v>0</v>
      </c>
    </row>
    <row r="1355" spans="1:3" x14ac:dyDescent="0.25">
      <c r="A1355">
        <f t="shared" si="80"/>
        <v>270.5999999999932</v>
      </c>
      <c r="B1355" s="2">
        <f t="shared" si="82"/>
        <v>107.15999999999976</v>
      </c>
      <c r="C1355" s="2">
        <f t="shared" si="81"/>
        <v>0</v>
      </c>
    </row>
    <row r="1356" spans="1:3" x14ac:dyDescent="0.25">
      <c r="A1356">
        <f t="shared" si="80"/>
        <v>270.79999999999319</v>
      </c>
      <c r="B1356" s="2">
        <f t="shared" si="82"/>
        <v>107.15999999999976</v>
      </c>
      <c r="C1356" s="2">
        <f t="shared" si="81"/>
        <v>0</v>
      </c>
    </row>
    <row r="1357" spans="1:3" x14ac:dyDescent="0.25">
      <c r="A1357">
        <f t="shared" si="80"/>
        <v>270.99999999999318</v>
      </c>
      <c r="B1357" s="2">
        <f t="shared" si="82"/>
        <v>107.15999999999976</v>
      </c>
      <c r="C1357" s="2">
        <f t="shared" si="81"/>
        <v>0</v>
      </c>
    </row>
    <row r="1358" spans="1:3" x14ac:dyDescent="0.25">
      <c r="A1358">
        <f t="shared" si="80"/>
        <v>271.19999999999317</v>
      </c>
      <c r="B1358" s="2">
        <f t="shared" si="82"/>
        <v>107.15999999999976</v>
      </c>
      <c r="C1358" s="2">
        <f t="shared" si="81"/>
        <v>0</v>
      </c>
    </row>
    <row r="1359" spans="1:3" x14ac:dyDescent="0.25">
      <c r="A1359">
        <f t="shared" si="80"/>
        <v>271.39999999999316</v>
      </c>
      <c r="B1359" s="2">
        <f t="shared" si="82"/>
        <v>107.15999999999976</v>
      </c>
      <c r="C1359" s="2">
        <f t="shared" si="81"/>
        <v>0</v>
      </c>
    </row>
    <row r="1360" spans="1:3" x14ac:dyDescent="0.25">
      <c r="A1360">
        <f t="shared" si="80"/>
        <v>271.59999999999314</v>
      </c>
      <c r="B1360" s="2">
        <f t="shared" si="82"/>
        <v>107.15999999999976</v>
      </c>
      <c r="C1360" s="2">
        <f t="shared" si="81"/>
        <v>0</v>
      </c>
    </row>
    <row r="1361" spans="1:3" x14ac:dyDescent="0.25">
      <c r="A1361">
        <f t="shared" si="80"/>
        <v>271.79999999999313</v>
      </c>
      <c r="B1361" s="2">
        <f t="shared" si="82"/>
        <v>107.15999999999976</v>
      </c>
      <c r="C1361" s="2">
        <f t="shared" si="81"/>
        <v>0</v>
      </c>
    </row>
    <row r="1362" spans="1:3" x14ac:dyDescent="0.25">
      <c r="A1362">
        <f t="shared" si="80"/>
        <v>271.99999999999312</v>
      </c>
      <c r="B1362" s="2">
        <f t="shared" si="82"/>
        <v>107.15999999999976</v>
      </c>
      <c r="C1362" s="2">
        <f t="shared" si="81"/>
        <v>0</v>
      </c>
    </row>
    <row r="1363" spans="1:3" x14ac:dyDescent="0.25">
      <c r="A1363">
        <f t="shared" si="80"/>
        <v>272.19999999999311</v>
      </c>
      <c r="B1363" s="2">
        <f t="shared" si="82"/>
        <v>107.15999999999976</v>
      </c>
      <c r="C1363" s="2">
        <f t="shared" si="81"/>
        <v>0</v>
      </c>
    </row>
    <row r="1364" spans="1:3" x14ac:dyDescent="0.25">
      <c r="A1364">
        <f t="shared" si="80"/>
        <v>272.3999999999931</v>
      </c>
      <c r="B1364" s="2">
        <f t="shared" si="82"/>
        <v>107.15999999999976</v>
      </c>
      <c r="C1364" s="2">
        <f t="shared" si="81"/>
        <v>0</v>
      </c>
    </row>
    <row r="1365" spans="1:3" x14ac:dyDescent="0.25">
      <c r="A1365">
        <f t="shared" si="80"/>
        <v>272.59999999999309</v>
      </c>
      <c r="B1365" s="2">
        <f t="shared" si="82"/>
        <v>107.15999999999976</v>
      </c>
      <c r="C1365" s="2">
        <f t="shared" si="81"/>
        <v>0</v>
      </c>
    </row>
    <row r="1366" spans="1:3" x14ac:dyDescent="0.25">
      <c r="A1366">
        <f t="shared" si="80"/>
        <v>272.79999999999308</v>
      </c>
      <c r="B1366" s="2">
        <f t="shared" si="82"/>
        <v>107.15999999999976</v>
      </c>
      <c r="C1366" s="2">
        <f t="shared" si="81"/>
        <v>0</v>
      </c>
    </row>
    <row r="1367" spans="1:3" x14ac:dyDescent="0.25">
      <c r="A1367">
        <f t="shared" si="80"/>
        <v>272.99999999999307</v>
      </c>
      <c r="B1367" s="2">
        <f t="shared" si="82"/>
        <v>107.15999999999976</v>
      </c>
      <c r="C1367" s="2">
        <f t="shared" si="81"/>
        <v>0</v>
      </c>
    </row>
    <row r="1368" spans="1:3" x14ac:dyDescent="0.25">
      <c r="A1368">
        <f t="shared" si="80"/>
        <v>273.19999999999305</v>
      </c>
      <c r="B1368" s="2">
        <f t="shared" si="82"/>
        <v>107.15999999999976</v>
      </c>
      <c r="C1368" s="2">
        <f t="shared" si="81"/>
        <v>0</v>
      </c>
    </row>
    <row r="1369" spans="1:3" x14ac:dyDescent="0.25">
      <c r="A1369">
        <f t="shared" si="80"/>
        <v>273.39999999999304</v>
      </c>
      <c r="B1369" s="2">
        <f t="shared" si="82"/>
        <v>107.15999999999976</v>
      </c>
      <c r="C1369" s="2">
        <f t="shared" si="81"/>
        <v>0</v>
      </c>
    </row>
    <row r="1370" spans="1:3" x14ac:dyDescent="0.25">
      <c r="A1370">
        <f t="shared" si="80"/>
        <v>273.59999999999303</v>
      </c>
      <c r="B1370" s="2">
        <f t="shared" si="82"/>
        <v>107.15999999999976</v>
      </c>
      <c r="C1370" s="2">
        <f t="shared" si="81"/>
        <v>0</v>
      </c>
    </row>
    <row r="1371" spans="1:3" x14ac:dyDescent="0.25">
      <c r="A1371">
        <f t="shared" si="80"/>
        <v>273.79999999999302</v>
      </c>
      <c r="B1371" s="2">
        <f t="shared" si="82"/>
        <v>107.15999999999976</v>
      </c>
      <c r="C1371" s="2">
        <f t="shared" si="81"/>
        <v>0</v>
      </c>
    </row>
    <row r="1372" spans="1:3" x14ac:dyDescent="0.25">
      <c r="A1372">
        <f t="shared" si="80"/>
        <v>273.99999999999301</v>
      </c>
      <c r="B1372" s="2">
        <f t="shared" si="82"/>
        <v>107.15999999999976</v>
      </c>
      <c r="C1372" s="2">
        <f t="shared" si="81"/>
        <v>0</v>
      </c>
    </row>
    <row r="1373" spans="1:3" x14ac:dyDescent="0.25">
      <c r="A1373">
        <f t="shared" si="80"/>
        <v>274.199999999993</v>
      </c>
      <c r="B1373" s="2">
        <f t="shared" si="82"/>
        <v>107.15999999999976</v>
      </c>
      <c r="C1373" s="2">
        <f t="shared" si="81"/>
        <v>0</v>
      </c>
    </row>
    <row r="1374" spans="1:3" x14ac:dyDescent="0.25">
      <c r="A1374">
        <f t="shared" si="80"/>
        <v>274.39999999999299</v>
      </c>
      <c r="B1374" s="2">
        <f t="shared" si="82"/>
        <v>107.15999999999976</v>
      </c>
      <c r="C1374" s="2">
        <f t="shared" si="81"/>
        <v>0</v>
      </c>
    </row>
    <row r="1375" spans="1:3" x14ac:dyDescent="0.25">
      <c r="A1375">
        <f t="shared" si="80"/>
        <v>274.59999999999297</v>
      </c>
      <c r="B1375" s="2">
        <f t="shared" si="82"/>
        <v>107.15999999999976</v>
      </c>
      <c r="C1375" s="2">
        <f t="shared" si="81"/>
        <v>0</v>
      </c>
    </row>
    <row r="1376" spans="1:3" x14ac:dyDescent="0.25">
      <c r="A1376">
        <f t="shared" si="80"/>
        <v>274.79999999999296</v>
      </c>
      <c r="B1376" s="2">
        <f t="shared" si="82"/>
        <v>107.15999999999976</v>
      </c>
      <c r="C1376" s="2">
        <f t="shared" si="81"/>
        <v>0</v>
      </c>
    </row>
    <row r="1377" spans="1:3" x14ac:dyDescent="0.25">
      <c r="A1377">
        <f t="shared" si="80"/>
        <v>274.99999999999295</v>
      </c>
      <c r="B1377" s="2">
        <f t="shared" si="82"/>
        <v>107.15999999999976</v>
      </c>
      <c r="C1377" s="2">
        <f t="shared" si="81"/>
        <v>0</v>
      </c>
    </row>
    <row r="1378" spans="1:3" x14ac:dyDescent="0.25">
      <c r="A1378">
        <f t="shared" si="80"/>
        <v>275.19999999999294</v>
      </c>
      <c r="B1378" s="2">
        <f t="shared" si="82"/>
        <v>107.15999999999976</v>
      </c>
      <c r="C1378" s="2">
        <f t="shared" si="81"/>
        <v>-0.95999999999999985</v>
      </c>
    </row>
    <row r="1379" spans="1:3" x14ac:dyDescent="0.25">
      <c r="A1379">
        <f t="shared" si="80"/>
        <v>275.39999999999293</v>
      </c>
      <c r="B1379" s="2">
        <f t="shared" si="82"/>
        <v>106.19999999999976</v>
      </c>
      <c r="C1379" s="2">
        <f t="shared" si="81"/>
        <v>-0.95999999999999985</v>
      </c>
    </row>
    <row r="1380" spans="1:3" x14ac:dyDescent="0.25">
      <c r="A1380">
        <f t="shared" si="80"/>
        <v>275.59999999999292</v>
      </c>
      <c r="B1380" s="2">
        <f t="shared" si="82"/>
        <v>105.23999999999977</v>
      </c>
      <c r="C1380" s="2">
        <f t="shared" si="81"/>
        <v>-0.95999999999999985</v>
      </c>
    </row>
    <row r="1381" spans="1:3" x14ac:dyDescent="0.25">
      <c r="A1381">
        <f t="shared" si="80"/>
        <v>275.79999999999291</v>
      </c>
      <c r="B1381" s="2">
        <f t="shared" si="82"/>
        <v>104.27999999999977</v>
      </c>
      <c r="C1381" s="2">
        <f t="shared" si="81"/>
        <v>-0.95999999999999985</v>
      </c>
    </row>
    <row r="1382" spans="1:3" x14ac:dyDescent="0.25">
      <c r="A1382">
        <f t="shared" si="80"/>
        <v>275.99999999999289</v>
      </c>
      <c r="B1382" s="2">
        <f t="shared" si="82"/>
        <v>103.31999999999978</v>
      </c>
      <c r="C1382" s="2">
        <f t="shared" si="81"/>
        <v>-0.95999999999999985</v>
      </c>
    </row>
    <row r="1383" spans="1:3" x14ac:dyDescent="0.25">
      <c r="A1383">
        <f t="shared" si="80"/>
        <v>276.19999999999288</v>
      </c>
      <c r="B1383" s="2">
        <f t="shared" si="82"/>
        <v>102.35999999999979</v>
      </c>
      <c r="C1383" s="2">
        <f t="shared" si="81"/>
        <v>-0.95999999999999985</v>
      </c>
    </row>
    <row r="1384" spans="1:3" x14ac:dyDescent="0.25">
      <c r="A1384">
        <f t="shared" si="80"/>
        <v>276.39999999999287</v>
      </c>
      <c r="B1384" s="2">
        <f t="shared" si="82"/>
        <v>101.39999999999979</v>
      </c>
      <c r="C1384" s="2">
        <f t="shared" si="81"/>
        <v>-0.95999999999999985</v>
      </c>
    </row>
    <row r="1385" spans="1:3" x14ac:dyDescent="0.25">
      <c r="A1385">
        <f t="shared" si="80"/>
        <v>276.59999999999286</v>
      </c>
      <c r="B1385" s="2">
        <f t="shared" si="82"/>
        <v>100.4399999999998</v>
      </c>
      <c r="C1385" s="2">
        <f t="shared" si="81"/>
        <v>-0.95999999999999985</v>
      </c>
    </row>
    <row r="1386" spans="1:3" x14ac:dyDescent="0.25">
      <c r="A1386">
        <f t="shared" si="80"/>
        <v>276.79999999999285</v>
      </c>
      <c r="B1386" s="2">
        <f t="shared" si="82"/>
        <v>99.479999999999805</v>
      </c>
      <c r="C1386" s="2">
        <f t="shared" si="81"/>
        <v>-0.95999999999999985</v>
      </c>
    </row>
    <row r="1387" spans="1:3" x14ac:dyDescent="0.25">
      <c r="A1387">
        <f t="shared" si="80"/>
        <v>276.99999999999284</v>
      </c>
      <c r="B1387" s="2">
        <f t="shared" si="82"/>
        <v>98.519999999999811</v>
      </c>
      <c r="C1387" s="2">
        <f t="shared" si="81"/>
        <v>-0.95999999999999985</v>
      </c>
    </row>
    <row r="1388" spans="1:3" x14ac:dyDescent="0.25">
      <c r="A1388">
        <f t="shared" si="80"/>
        <v>277.19999999999283</v>
      </c>
      <c r="B1388" s="2">
        <f t="shared" si="82"/>
        <v>97.559999999999818</v>
      </c>
      <c r="C1388" s="2">
        <f t="shared" si="81"/>
        <v>-0.95999999999999985</v>
      </c>
    </row>
    <row r="1389" spans="1:3" x14ac:dyDescent="0.25">
      <c r="A1389">
        <f t="shared" si="80"/>
        <v>277.39999999999281</v>
      </c>
      <c r="B1389" s="2">
        <f t="shared" si="82"/>
        <v>96.599999999999824</v>
      </c>
      <c r="C1389" s="2">
        <f t="shared" si="81"/>
        <v>-0.95999999999999985</v>
      </c>
    </row>
    <row r="1390" spans="1:3" x14ac:dyDescent="0.25">
      <c r="A1390">
        <f t="shared" si="80"/>
        <v>277.5999999999928</v>
      </c>
      <c r="B1390" s="2">
        <f t="shared" si="82"/>
        <v>95.63999999999983</v>
      </c>
      <c r="C1390" s="2">
        <f t="shared" si="81"/>
        <v>-0.95999999999999985</v>
      </c>
    </row>
    <row r="1391" spans="1:3" x14ac:dyDescent="0.25">
      <c r="A1391">
        <f t="shared" ref="A1391:A1454" si="83">A1390+0.2</f>
        <v>277.79999999999279</v>
      </c>
      <c r="B1391" s="2">
        <f t="shared" si="82"/>
        <v>94.679999999999836</v>
      </c>
      <c r="C1391" s="2">
        <f t="shared" si="81"/>
        <v>-0.95999999999999985</v>
      </c>
    </row>
    <row r="1392" spans="1:3" x14ac:dyDescent="0.25">
      <c r="A1392">
        <f t="shared" si="83"/>
        <v>277.99999999999278</v>
      </c>
      <c r="B1392" s="2">
        <f t="shared" si="82"/>
        <v>93.719999999999843</v>
      </c>
      <c r="C1392" s="2">
        <f t="shared" si="81"/>
        <v>-0.95999999999999985</v>
      </c>
    </row>
    <row r="1393" spans="1:3" x14ac:dyDescent="0.25">
      <c r="A1393">
        <f t="shared" si="83"/>
        <v>278.19999999999277</v>
      </c>
      <c r="B1393" s="2">
        <f t="shared" si="82"/>
        <v>92.759999999999849</v>
      </c>
      <c r="C1393" s="2">
        <f t="shared" si="81"/>
        <v>-0.95999999999999985</v>
      </c>
    </row>
    <row r="1394" spans="1:3" x14ac:dyDescent="0.25">
      <c r="A1394">
        <f t="shared" si="83"/>
        <v>278.39999999999276</v>
      </c>
      <c r="B1394" s="2">
        <f t="shared" si="82"/>
        <v>91.799999999999855</v>
      </c>
      <c r="C1394" s="2">
        <f t="shared" si="81"/>
        <v>-0.95999999999999985</v>
      </c>
    </row>
    <row r="1395" spans="1:3" x14ac:dyDescent="0.25">
      <c r="A1395">
        <f t="shared" si="83"/>
        <v>278.59999999999275</v>
      </c>
      <c r="B1395" s="2">
        <f t="shared" si="82"/>
        <v>90.839999999999861</v>
      </c>
      <c r="C1395" s="2">
        <f t="shared" si="81"/>
        <v>-0.95999999999999985</v>
      </c>
    </row>
    <row r="1396" spans="1:3" x14ac:dyDescent="0.25">
      <c r="A1396">
        <f t="shared" si="83"/>
        <v>278.79999999999274</v>
      </c>
      <c r="B1396" s="2">
        <f t="shared" si="82"/>
        <v>89.879999999999868</v>
      </c>
      <c r="C1396" s="2">
        <f t="shared" si="81"/>
        <v>-0.95999999999999985</v>
      </c>
    </row>
    <row r="1397" spans="1:3" x14ac:dyDescent="0.25">
      <c r="A1397">
        <f t="shared" si="83"/>
        <v>278.99999999999272</v>
      </c>
      <c r="B1397" s="2">
        <f t="shared" si="82"/>
        <v>88.919999999999874</v>
      </c>
      <c r="C1397" s="2">
        <f t="shared" si="81"/>
        <v>-0.95999999999999985</v>
      </c>
    </row>
    <row r="1398" spans="1:3" x14ac:dyDescent="0.25">
      <c r="A1398">
        <f t="shared" si="83"/>
        <v>279.19999999999271</v>
      </c>
      <c r="B1398" s="2">
        <f t="shared" si="82"/>
        <v>87.95999999999988</v>
      </c>
      <c r="C1398" s="2">
        <f t="shared" si="81"/>
        <v>-0.95999999999999985</v>
      </c>
    </row>
    <row r="1399" spans="1:3" x14ac:dyDescent="0.25">
      <c r="A1399">
        <f t="shared" si="83"/>
        <v>279.3999999999927</v>
      </c>
      <c r="B1399" s="2">
        <f t="shared" si="82"/>
        <v>86.999999999999886</v>
      </c>
      <c r="C1399" s="2">
        <f t="shared" si="81"/>
        <v>-0.95999999999999985</v>
      </c>
    </row>
    <row r="1400" spans="1:3" x14ac:dyDescent="0.25">
      <c r="A1400">
        <f t="shared" si="83"/>
        <v>279.59999999999269</v>
      </c>
      <c r="B1400" s="2">
        <f t="shared" si="82"/>
        <v>86.039999999999893</v>
      </c>
      <c r="C1400" s="2">
        <f t="shared" si="81"/>
        <v>-0.95999999999999985</v>
      </c>
    </row>
    <row r="1401" spans="1:3" x14ac:dyDescent="0.25">
      <c r="A1401">
        <f t="shared" si="83"/>
        <v>279.79999999999268</v>
      </c>
      <c r="B1401" s="2">
        <f t="shared" si="82"/>
        <v>85.079999999999899</v>
      </c>
      <c r="C1401" s="2">
        <f t="shared" si="81"/>
        <v>-0.95999999999999985</v>
      </c>
    </row>
    <row r="1402" spans="1:3" x14ac:dyDescent="0.25">
      <c r="A1402">
        <f t="shared" si="83"/>
        <v>279.99999999999267</v>
      </c>
      <c r="B1402" s="2">
        <f t="shared" si="82"/>
        <v>84.119999999999905</v>
      </c>
      <c r="C1402" s="2">
        <f t="shared" si="81"/>
        <v>-0.95999999999999985</v>
      </c>
    </row>
    <row r="1403" spans="1:3" x14ac:dyDescent="0.25">
      <c r="A1403">
        <f t="shared" si="83"/>
        <v>280.19999999999266</v>
      </c>
      <c r="B1403" s="2">
        <f t="shared" si="82"/>
        <v>83.159999999999911</v>
      </c>
      <c r="C1403" s="2">
        <f t="shared" si="81"/>
        <v>-0.95999999999999985</v>
      </c>
    </row>
    <row r="1404" spans="1:3" x14ac:dyDescent="0.25">
      <c r="A1404">
        <f t="shared" si="83"/>
        <v>280.39999999999264</v>
      </c>
      <c r="B1404" s="2">
        <f t="shared" si="82"/>
        <v>82.199999999999918</v>
      </c>
      <c r="C1404" s="2">
        <f t="shared" si="81"/>
        <v>-0.95999999999999985</v>
      </c>
    </row>
    <row r="1405" spans="1:3" x14ac:dyDescent="0.25">
      <c r="A1405">
        <f t="shared" si="83"/>
        <v>280.59999999999263</v>
      </c>
      <c r="B1405" s="2">
        <f t="shared" si="82"/>
        <v>81.239999999999924</v>
      </c>
      <c r="C1405" s="2">
        <f t="shared" si="81"/>
        <v>-0.95999999999999985</v>
      </c>
    </row>
    <row r="1406" spans="1:3" x14ac:dyDescent="0.25">
      <c r="A1406">
        <f t="shared" si="83"/>
        <v>280.79999999999262</v>
      </c>
      <c r="B1406" s="2">
        <f t="shared" si="82"/>
        <v>80.27999999999993</v>
      </c>
      <c r="C1406" s="2">
        <f t="shared" si="81"/>
        <v>-0.95999999999999985</v>
      </c>
    </row>
    <row r="1407" spans="1:3" x14ac:dyDescent="0.25">
      <c r="A1407">
        <f t="shared" si="83"/>
        <v>280.99999999999261</v>
      </c>
      <c r="B1407" s="2">
        <f t="shared" si="82"/>
        <v>79.319999999999936</v>
      </c>
      <c r="C1407" s="2">
        <f t="shared" si="81"/>
        <v>-0.95999999999999985</v>
      </c>
    </row>
    <row r="1408" spans="1:3" x14ac:dyDescent="0.25">
      <c r="A1408">
        <f t="shared" si="83"/>
        <v>281.1999999999926</v>
      </c>
      <c r="B1408" s="2">
        <f t="shared" si="82"/>
        <v>78.359999999999943</v>
      </c>
      <c r="C1408" s="2">
        <f t="shared" si="81"/>
        <v>-0.95999999999999985</v>
      </c>
    </row>
    <row r="1409" spans="1:3" x14ac:dyDescent="0.25">
      <c r="A1409">
        <f t="shared" si="83"/>
        <v>281.39999999999259</v>
      </c>
      <c r="B1409" s="2">
        <f t="shared" si="82"/>
        <v>77.399999999999949</v>
      </c>
      <c r="C1409" s="2">
        <f t="shared" si="81"/>
        <v>-0.95999999999999985</v>
      </c>
    </row>
    <row r="1410" spans="1:3" x14ac:dyDescent="0.25">
      <c r="A1410">
        <f t="shared" si="83"/>
        <v>281.59999999999258</v>
      </c>
      <c r="B1410" s="2">
        <f t="shared" si="82"/>
        <v>76.439999999999955</v>
      </c>
      <c r="C1410" s="2">
        <f t="shared" si="81"/>
        <v>-0.95999999999999985</v>
      </c>
    </row>
    <row r="1411" spans="1:3" x14ac:dyDescent="0.25">
      <c r="A1411">
        <f t="shared" si="83"/>
        <v>281.79999999999256</v>
      </c>
      <c r="B1411" s="2">
        <f t="shared" si="82"/>
        <v>75.479999999999961</v>
      </c>
      <c r="C1411" s="2">
        <f t="shared" ref="C1411:C1474" si="84">INDEX($K$3:$K$40,MATCH(A1411,$H$2:$H$40,1))</f>
        <v>-0.95999999999999985</v>
      </c>
    </row>
    <row r="1412" spans="1:3" x14ac:dyDescent="0.25">
      <c r="A1412">
        <f t="shared" si="83"/>
        <v>281.99999999999255</v>
      </c>
      <c r="B1412" s="2">
        <f t="shared" ref="B1412:B1475" si="85">B1411+C1411</f>
        <v>74.519999999999968</v>
      </c>
      <c r="C1412" s="2">
        <f t="shared" si="84"/>
        <v>-0.95999999999999985</v>
      </c>
    </row>
    <row r="1413" spans="1:3" x14ac:dyDescent="0.25">
      <c r="A1413">
        <f t="shared" si="83"/>
        <v>282.19999999999254</v>
      </c>
      <c r="B1413" s="2">
        <f t="shared" si="85"/>
        <v>73.559999999999974</v>
      </c>
      <c r="C1413" s="2">
        <f t="shared" si="84"/>
        <v>-0.95999999999999985</v>
      </c>
    </row>
    <row r="1414" spans="1:3" x14ac:dyDescent="0.25">
      <c r="A1414">
        <f t="shared" si="83"/>
        <v>282.39999999999253</v>
      </c>
      <c r="B1414" s="2">
        <f t="shared" si="85"/>
        <v>72.59999999999998</v>
      </c>
      <c r="C1414" s="2">
        <f t="shared" si="84"/>
        <v>-0.95999999999999985</v>
      </c>
    </row>
    <row r="1415" spans="1:3" x14ac:dyDescent="0.25">
      <c r="A1415">
        <f t="shared" si="83"/>
        <v>282.59999999999252</v>
      </c>
      <c r="B1415" s="2">
        <f t="shared" si="85"/>
        <v>71.639999999999986</v>
      </c>
      <c r="C1415" s="2">
        <f t="shared" si="84"/>
        <v>-0.95999999999999985</v>
      </c>
    </row>
    <row r="1416" spans="1:3" x14ac:dyDescent="0.25">
      <c r="A1416">
        <f t="shared" si="83"/>
        <v>282.79999999999251</v>
      </c>
      <c r="B1416" s="2">
        <f t="shared" si="85"/>
        <v>70.679999999999993</v>
      </c>
      <c r="C1416" s="2">
        <f t="shared" si="84"/>
        <v>-0.95999999999999985</v>
      </c>
    </row>
    <row r="1417" spans="1:3" x14ac:dyDescent="0.25">
      <c r="A1417">
        <f t="shared" si="83"/>
        <v>282.9999999999925</v>
      </c>
      <c r="B1417" s="2">
        <f t="shared" si="85"/>
        <v>69.72</v>
      </c>
      <c r="C1417" s="2">
        <f t="shared" si="84"/>
        <v>-0.95999999999999985</v>
      </c>
    </row>
    <row r="1418" spans="1:3" x14ac:dyDescent="0.25">
      <c r="A1418">
        <f t="shared" si="83"/>
        <v>283.19999999999249</v>
      </c>
      <c r="B1418" s="2">
        <f t="shared" si="85"/>
        <v>68.760000000000005</v>
      </c>
      <c r="C1418" s="2">
        <f t="shared" si="84"/>
        <v>-0.95999999999999985</v>
      </c>
    </row>
    <row r="1419" spans="1:3" x14ac:dyDescent="0.25">
      <c r="A1419">
        <f t="shared" si="83"/>
        <v>283.39999999999247</v>
      </c>
      <c r="B1419" s="2">
        <f t="shared" si="85"/>
        <v>67.800000000000011</v>
      </c>
      <c r="C1419" s="2">
        <f t="shared" si="84"/>
        <v>-0.95999999999999985</v>
      </c>
    </row>
    <row r="1420" spans="1:3" x14ac:dyDescent="0.25">
      <c r="A1420">
        <f t="shared" si="83"/>
        <v>283.59999999999246</v>
      </c>
      <c r="B1420" s="2">
        <f t="shared" si="85"/>
        <v>66.840000000000018</v>
      </c>
      <c r="C1420" s="2">
        <f t="shared" si="84"/>
        <v>-0.95999999999999985</v>
      </c>
    </row>
    <row r="1421" spans="1:3" x14ac:dyDescent="0.25">
      <c r="A1421">
        <f t="shared" si="83"/>
        <v>283.79999999999245</v>
      </c>
      <c r="B1421" s="2">
        <f t="shared" si="85"/>
        <v>65.880000000000024</v>
      </c>
      <c r="C1421" s="2">
        <f t="shared" si="84"/>
        <v>-0.95999999999999985</v>
      </c>
    </row>
    <row r="1422" spans="1:3" x14ac:dyDescent="0.25">
      <c r="A1422">
        <f t="shared" si="83"/>
        <v>283.99999999999244</v>
      </c>
      <c r="B1422" s="2">
        <f t="shared" si="85"/>
        <v>64.92000000000003</v>
      </c>
      <c r="C1422" s="2">
        <f t="shared" si="84"/>
        <v>-0.95999999999999985</v>
      </c>
    </row>
    <row r="1423" spans="1:3" x14ac:dyDescent="0.25">
      <c r="A1423">
        <f t="shared" si="83"/>
        <v>284.19999999999243</v>
      </c>
      <c r="B1423" s="2">
        <f t="shared" si="85"/>
        <v>63.960000000000029</v>
      </c>
      <c r="C1423" s="2">
        <f t="shared" si="84"/>
        <v>-0.95999999999999985</v>
      </c>
    </row>
    <row r="1424" spans="1:3" x14ac:dyDescent="0.25">
      <c r="A1424">
        <f t="shared" si="83"/>
        <v>284.39999999999242</v>
      </c>
      <c r="B1424" s="2">
        <f t="shared" si="85"/>
        <v>63.000000000000028</v>
      </c>
      <c r="C1424" s="2">
        <f t="shared" si="84"/>
        <v>-0.95999999999999985</v>
      </c>
    </row>
    <row r="1425" spans="1:3" x14ac:dyDescent="0.25">
      <c r="A1425">
        <f t="shared" si="83"/>
        <v>284.59999999999241</v>
      </c>
      <c r="B1425" s="2">
        <f t="shared" si="85"/>
        <v>62.040000000000028</v>
      </c>
      <c r="C1425" s="2">
        <f t="shared" si="84"/>
        <v>-0.95999999999999985</v>
      </c>
    </row>
    <row r="1426" spans="1:3" x14ac:dyDescent="0.25">
      <c r="A1426">
        <f t="shared" si="83"/>
        <v>284.79999999999239</v>
      </c>
      <c r="B1426" s="2">
        <f t="shared" si="85"/>
        <v>61.080000000000027</v>
      </c>
      <c r="C1426" s="2">
        <f t="shared" si="84"/>
        <v>-0.95999999999999985</v>
      </c>
    </row>
    <row r="1427" spans="1:3" x14ac:dyDescent="0.25">
      <c r="A1427">
        <f t="shared" si="83"/>
        <v>284.99999999999238</v>
      </c>
      <c r="B1427" s="2">
        <f t="shared" si="85"/>
        <v>60.120000000000026</v>
      </c>
      <c r="C1427" s="2">
        <f t="shared" si="84"/>
        <v>-0.95999999999999985</v>
      </c>
    </row>
    <row r="1428" spans="1:3" x14ac:dyDescent="0.25">
      <c r="A1428">
        <f t="shared" si="83"/>
        <v>285.19999999999237</v>
      </c>
      <c r="B1428" s="2">
        <f t="shared" si="85"/>
        <v>59.160000000000025</v>
      </c>
      <c r="C1428" s="2">
        <f t="shared" si="84"/>
        <v>-0.95999999999999985</v>
      </c>
    </row>
    <row r="1429" spans="1:3" x14ac:dyDescent="0.25">
      <c r="A1429">
        <f t="shared" si="83"/>
        <v>285.39999999999236</v>
      </c>
      <c r="B1429" s="2">
        <f t="shared" si="85"/>
        <v>58.200000000000024</v>
      </c>
      <c r="C1429" s="2">
        <f t="shared" si="84"/>
        <v>-0.95999999999999985</v>
      </c>
    </row>
    <row r="1430" spans="1:3" x14ac:dyDescent="0.25">
      <c r="A1430">
        <f t="shared" si="83"/>
        <v>285.59999999999235</v>
      </c>
      <c r="B1430" s="2">
        <f t="shared" si="85"/>
        <v>57.240000000000023</v>
      </c>
      <c r="C1430" s="2">
        <f t="shared" si="84"/>
        <v>-0.95999999999999985</v>
      </c>
    </row>
    <row r="1431" spans="1:3" x14ac:dyDescent="0.25">
      <c r="A1431">
        <f t="shared" si="83"/>
        <v>285.79999999999234</v>
      </c>
      <c r="B1431" s="2">
        <f t="shared" si="85"/>
        <v>56.280000000000022</v>
      </c>
      <c r="C1431" s="2">
        <f t="shared" si="84"/>
        <v>-0.95999999999999985</v>
      </c>
    </row>
    <row r="1432" spans="1:3" x14ac:dyDescent="0.25">
      <c r="A1432">
        <f t="shared" si="83"/>
        <v>285.99999999999233</v>
      </c>
      <c r="B1432" s="2">
        <f t="shared" si="85"/>
        <v>55.320000000000022</v>
      </c>
      <c r="C1432" s="2">
        <f t="shared" si="84"/>
        <v>-0.95999999999999985</v>
      </c>
    </row>
    <row r="1433" spans="1:3" x14ac:dyDescent="0.25">
      <c r="A1433">
        <f t="shared" si="83"/>
        <v>286.19999999999231</v>
      </c>
      <c r="B1433" s="2">
        <f t="shared" si="85"/>
        <v>54.360000000000021</v>
      </c>
      <c r="C1433" s="2">
        <f t="shared" si="84"/>
        <v>-0.95999999999999985</v>
      </c>
    </row>
    <row r="1434" spans="1:3" x14ac:dyDescent="0.25">
      <c r="A1434">
        <f t="shared" si="83"/>
        <v>286.3999999999923</v>
      </c>
      <c r="B1434" s="2">
        <f t="shared" si="85"/>
        <v>53.40000000000002</v>
      </c>
      <c r="C1434" s="2">
        <f t="shared" si="84"/>
        <v>-0.95999999999999985</v>
      </c>
    </row>
    <row r="1435" spans="1:3" x14ac:dyDescent="0.25">
      <c r="A1435">
        <f t="shared" si="83"/>
        <v>286.59999999999229</v>
      </c>
      <c r="B1435" s="2">
        <f t="shared" si="85"/>
        <v>52.440000000000019</v>
      </c>
      <c r="C1435" s="2">
        <f t="shared" si="84"/>
        <v>-0.95999999999999985</v>
      </c>
    </row>
    <row r="1436" spans="1:3" x14ac:dyDescent="0.25">
      <c r="A1436">
        <f t="shared" si="83"/>
        <v>286.79999999999228</v>
      </c>
      <c r="B1436" s="2">
        <f t="shared" si="85"/>
        <v>51.480000000000018</v>
      </c>
      <c r="C1436" s="2">
        <f t="shared" si="84"/>
        <v>-0.95999999999999985</v>
      </c>
    </row>
    <row r="1437" spans="1:3" x14ac:dyDescent="0.25">
      <c r="A1437">
        <f t="shared" si="83"/>
        <v>286.99999999999227</v>
      </c>
      <c r="B1437" s="2">
        <f t="shared" si="85"/>
        <v>50.520000000000017</v>
      </c>
      <c r="C1437" s="2">
        <f t="shared" si="84"/>
        <v>-0.95999999999999985</v>
      </c>
    </row>
    <row r="1438" spans="1:3" x14ac:dyDescent="0.25">
      <c r="A1438">
        <f t="shared" si="83"/>
        <v>287.19999999999226</v>
      </c>
      <c r="B1438" s="2">
        <f t="shared" si="85"/>
        <v>49.560000000000016</v>
      </c>
      <c r="C1438" s="2">
        <f t="shared" si="84"/>
        <v>-0.95999999999999985</v>
      </c>
    </row>
    <row r="1439" spans="1:3" x14ac:dyDescent="0.25">
      <c r="A1439">
        <f t="shared" si="83"/>
        <v>287.39999999999225</v>
      </c>
      <c r="B1439" s="2">
        <f t="shared" si="85"/>
        <v>48.600000000000016</v>
      </c>
      <c r="C1439" s="2">
        <f t="shared" si="84"/>
        <v>-0.95999999999999985</v>
      </c>
    </row>
    <row r="1440" spans="1:3" x14ac:dyDescent="0.25">
      <c r="A1440">
        <f t="shared" si="83"/>
        <v>287.59999999999224</v>
      </c>
      <c r="B1440" s="2">
        <f t="shared" si="85"/>
        <v>47.640000000000015</v>
      </c>
      <c r="C1440" s="2">
        <f t="shared" si="84"/>
        <v>-0.95999999999999985</v>
      </c>
    </row>
    <row r="1441" spans="1:3" x14ac:dyDescent="0.25">
      <c r="A1441">
        <f t="shared" si="83"/>
        <v>287.79999999999222</v>
      </c>
      <c r="B1441" s="2">
        <f t="shared" si="85"/>
        <v>46.680000000000014</v>
      </c>
      <c r="C1441" s="2">
        <f t="shared" si="84"/>
        <v>-0.95999999999999985</v>
      </c>
    </row>
    <row r="1442" spans="1:3" x14ac:dyDescent="0.25">
      <c r="A1442">
        <f t="shared" si="83"/>
        <v>287.99999999999221</v>
      </c>
      <c r="B1442" s="2">
        <f t="shared" si="85"/>
        <v>45.720000000000013</v>
      </c>
      <c r="C1442" s="2">
        <f t="shared" si="84"/>
        <v>-0.95999999999999985</v>
      </c>
    </row>
    <row r="1443" spans="1:3" x14ac:dyDescent="0.25">
      <c r="A1443">
        <f t="shared" si="83"/>
        <v>288.1999999999922</v>
      </c>
      <c r="B1443" s="2">
        <f t="shared" si="85"/>
        <v>44.760000000000012</v>
      </c>
      <c r="C1443" s="2">
        <f t="shared" si="84"/>
        <v>-0.95999999999999985</v>
      </c>
    </row>
    <row r="1444" spans="1:3" x14ac:dyDescent="0.25">
      <c r="A1444">
        <f t="shared" si="83"/>
        <v>288.39999999999219</v>
      </c>
      <c r="B1444" s="2">
        <f t="shared" si="85"/>
        <v>43.800000000000011</v>
      </c>
      <c r="C1444" s="2">
        <f t="shared" si="84"/>
        <v>-0.95999999999999985</v>
      </c>
    </row>
    <row r="1445" spans="1:3" x14ac:dyDescent="0.25">
      <c r="A1445">
        <f t="shared" si="83"/>
        <v>288.59999999999218</v>
      </c>
      <c r="B1445" s="2">
        <f t="shared" si="85"/>
        <v>42.840000000000011</v>
      </c>
      <c r="C1445" s="2">
        <f t="shared" si="84"/>
        <v>-0.95999999999999985</v>
      </c>
    </row>
    <row r="1446" spans="1:3" x14ac:dyDescent="0.25">
      <c r="A1446">
        <f t="shared" si="83"/>
        <v>288.79999999999217</v>
      </c>
      <c r="B1446" s="2">
        <f t="shared" si="85"/>
        <v>41.88000000000001</v>
      </c>
      <c r="C1446" s="2">
        <f t="shared" si="84"/>
        <v>-0.95999999999999985</v>
      </c>
    </row>
    <row r="1447" spans="1:3" x14ac:dyDescent="0.25">
      <c r="A1447">
        <f t="shared" si="83"/>
        <v>288.99999999999216</v>
      </c>
      <c r="B1447" s="2">
        <f t="shared" si="85"/>
        <v>40.920000000000009</v>
      </c>
      <c r="C1447" s="2">
        <f t="shared" si="84"/>
        <v>-0.95999999999999985</v>
      </c>
    </row>
    <row r="1448" spans="1:3" x14ac:dyDescent="0.25">
      <c r="A1448">
        <f t="shared" si="83"/>
        <v>289.19999999999214</v>
      </c>
      <c r="B1448" s="2">
        <f t="shared" si="85"/>
        <v>39.960000000000008</v>
      </c>
      <c r="C1448" s="2">
        <f t="shared" si="84"/>
        <v>-0.95999999999999985</v>
      </c>
    </row>
    <row r="1449" spans="1:3" x14ac:dyDescent="0.25">
      <c r="A1449">
        <f t="shared" si="83"/>
        <v>289.39999999999213</v>
      </c>
      <c r="B1449" s="2">
        <f t="shared" si="85"/>
        <v>39.000000000000007</v>
      </c>
      <c r="C1449" s="2">
        <f t="shared" si="84"/>
        <v>-0.95999999999999985</v>
      </c>
    </row>
    <row r="1450" spans="1:3" x14ac:dyDescent="0.25">
      <c r="A1450">
        <f t="shared" si="83"/>
        <v>289.59999999999212</v>
      </c>
      <c r="B1450" s="2">
        <f t="shared" si="85"/>
        <v>38.040000000000006</v>
      </c>
      <c r="C1450" s="2">
        <f t="shared" si="84"/>
        <v>-0.95999999999999985</v>
      </c>
    </row>
    <row r="1451" spans="1:3" x14ac:dyDescent="0.25">
      <c r="A1451">
        <f t="shared" si="83"/>
        <v>289.79999999999211</v>
      </c>
      <c r="B1451" s="2">
        <f t="shared" si="85"/>
        <v>37.080000000000005</v>
      </c>
      <c r="C1451" s="2">
        <f t="shared" si="84"/>
        <v>-0.95999999999999985</v>
      </c>
    </row>
    <row r="1452" spans="1:3" x14ac:dyDescent="0.25">
      <c r="A1452">
        <f t="shared" si="83"/>
        <v>289.9999999999921</v>
      </c>
      <c r="B1452" s="2">
        <f t="shared" si="85"/>
        <v>36.120000000000005</v>
      </c>
      <c r="C1452" s="2">
        <f t="shared" si="84"/>
        <v>-0.95999999999999985</v>
      </c>
    </row>
    <row r="1453" spans="1:3" x14ac:dyDescent="0.25">
      <c r="A1453">
        <f t="shared" si="83"/>
        <v>290.19999999999209</v>
      </c>
      <c r="B1453" s="2">
        <f t="shared" si="85"/>
        <v>35.160000000000004</v>
      </c>
      <c r="C1453" s="2">
        <f t="shared" si="84"/>
        <v>0</v>
      </c>
    </row>
    <row r="1454" spans="1:3" x14ac:dyDescent="0.25">
      <c r="A1454">
        <f t="shared" si="83"/>
        <v>290.39999999999208</v>
      </c>
      <c r="B1454" s="2">
        <f t="shared" si="85"/>
        <v>35.160000000000004</v>
      </c>
      <c r="C1454" s="2">
        <f t="shared" si="84"/>
        <v>0</v>
      </c>
    </row>
    <row r="1455" spans="1:3" x14ac:dyDescent="0.25">
      <c r="A1455">
        <f t="shared" ref="A1455:A1502" si="86">A1454+0.2</f>
        <v>290.59999999999206</v>
      </c>
      <c r="B1455" s="2">
        <f t="shared" si="85"/>
        <v>35.160000000000004</v>
      </c>
      <c r="C1455" s="2">
        <f t="shared" si="84"/>
        <v>0</v>
      </c>
    </row>
    <row r="1456" spans="1:3" x14ac:dyDescent="0.25">
      <c r="A1456">
        <f t="shared" si="86"/>
        <v>290.79999999999205</v>
      </c>
      <c r="B1456" s="2">
        <f t="shared" si="85"/>
        <v>35.160000000000004</v>
      </c>
      <c r="C1456" s="2">
        <f t="shared" si="84"/>
        <v>0</v>
      </c>
    </row>
    <row r="1457" spans="1:3" x14ac:dyDescent="0.25">
      <c r="A1457">
        <f t="shared" si="86"/>
        <v>290.99999999999204</v>
      </c>
      <c r="B1457" s="2">
        <f t="shared" si="85"/>
        <v>35.160000000000004</v>
      </c>
      <c r="C1457" s="2">
        <f t="shared" si="84"/>
        <v>0</v>
      </c>
    </row>
    <row r="1458" spans="1:3" x14ac:dyDescent="0.25">
      <c r="A1458">
        <f t="shared" si="86"/>
        <v>291.19999999999203</v>
      </c>
      <c r="B1458" s="2">
        <f t="shared" si="85"/>
        <v>35.160000000000004</v>
      </c>
      <c r="C1458" s="2">
        <f t="shared" si="84"/>
        <v>0</v>
      </c>
    </row>
    <row r="1459" spans="1:3" x14ac:dyDescent="0.25">
      <c r="A1459">
        <f t="shared" si="86"/>
        <v>291.39999999999202</v>
      </c>
      <c r="B1459" s="2">
        <f t="shared" si="85"/>
        <v>35.160000000000004</v>
      </c>
      <c r="C1459" s="2">
        <f t="shared" si="84"/>
        <v>0</v>
      </c>
    </row>
    <row r="1460" spans="1:3" x14ac:dyDescent="0.25">
      <c r="A1460">
        <f t="shared" si="86"/>
        <v>291.59999999999201</v>
      </c>
      <c r="B1460" s="2">
        <f t="shared" si="85"/>
        <v>35.160000000000004</v>
      </c>
      <c r="C1460" s="2">
        <f t="shared" si="84"/>
        <v>0</v>
      </c>
    </row>
    <row r="1461" spans="1:3" x14ac:dyDescent="0.25">
      <c r="A1461">
        <f t="shared" si="86"/>
        <v>291.799999999992</v>
      </c>
      <c r="B1461" s="2">
        <f t="shared" si="85"/>
        <v>35.160000000000004</v>
      </c>
      <c r="C1461" s="2">
        <f t="shared" si="84"/>
        <v>0</v>
      </c>
    </row>
    <row r="1462" spans="1:3" x14ac:dyDescent="0.25">
      <c r="A1462">
        <f t="shared" si="86"/>
        <v>291.99999999999199</v>
      </c>
      <c r="B1462" s="2">
        <f t="shared" si="85"/>
        <v>35.160000000000004</v>
      </c>
      <c r="C1462" s="2">
        <f t="shared" si="84"/>
        <v>0</v>
      </c>
    </row>
    <row r="1463" spans="1:3" x14ac:dyDescent="0.25">
      <c r="A1463">
        <f t="shared" si="86"/>
        <v>292.19999999999197</v>
      </c>
      <c r="B1463" s="2">
        <f t="shared" si="85"/>
        <v>35.160000000000004</v>
      </c>
      <c r="C1463" s="2">
        <f t="shared" si="84"/>
        <v>0</v>
      </c>
    </row>
    <row r="1464" spans="1:3" x14ac:dyDescent="0.25">
      <c r="A1464">
        <f t="shared" si="86"/>
        <v>292.39999999999196</v>
      </c>
      <c r="B1464" s="2">
        <f t="shared" si="85"/>
        <v>35.160000000000004</v>
      </c>
      <c r="C1464" s="2">
        <f t="shared" si="84"/>
        <v>0</v>
      </c>
    </row>
    <row r="1465" spans="1:3" x14ac:dyDescent="0.25">
      <c r="A1465">
        <f t="shared" si="86"/>
        <v>292.59999999999195</v>
      </c>
      <c r="B1465" s="2">
        <f t="shared" si="85"/>
        <v>35.160000000000004</v>
      </c>
      <c r="C1465" s="2">
        <f t="shared" si="84"/>
        <v>0</v>
      </c>
    </row>
    <row r="1466" spans="1:3" x14ac:dyDescent="0.25">
      <c r="A1466">
        <f t="shared" si="86"/>
        <v>292.79999999999194</v>
      </c>
      <c r="B1466" s="2">
        <f t="shared" si="85"/>
        <v>35.160000000000004</v>
      </c>
      <c r="C1466" s="2">
        <f t="shared" si="84"/>
        <v>0</v>
      </c>
    </row>
    <row r="1467" spans="1:3" x14ac:dyDescent="0.25">
      <c r="A1467">
        <f t="shared" si="86"/>
        <v>292.99999999999193</v>
      </c>
      <c r="B1467" s="2">
        <f t="shared" si="85"/>
        <v>35.160000000000004</v>
      </c>
      <c r="C1467" s="2">
        <f t="shared" si="84"/>
        <v>0</v>
      </c>
    </row>
    <row r="1468" spans="1:3" x14ac:dyDescent="0.25">
      <c r="A1468">
        <f t="shared" si="86"/>
        <v>293.19999999999192</v>
      </c>
      <c r="B1468" s="2">
        <f t="shared" si="85"/>
        <v>35.160000000000004</v>
      </c>
      <c r="C1468" s="2">
        <f t="shared" si="84"/>
        <v>0</v>
      </c>
    </row>
    <row r="1469" spans="1:3" x14ac:dyDescent="0.25">
      <c r="A1469">
        <f t="shared" si="86"/>
        <v>293.39999999999191</v>
      </c>
      <c r="B1469" s="2">
        <f t="shared" si="85"/>
        <v>35.160000000000004</v>
      </c>
      <c r="C1469" s="2">
        <f t="shared" si="84"/>
        <v>0</v>
      </c>
    </row>
    <row r="1470" spans="1:3" x14ac:dyDescent="0.25">
      <c r="A1470">
        <f t="shared" si="86"/>
        <v>293.59999999999189</v>
      </c>
      <c r="B1470" s="2">
        <f t="shared" si="85"/>
        <v>35.160000000000004</v>
      </c>
      <c r="C1470" s="2">
        <f t="shared" si="84"/>
        <v>0</v>
      </c>
    </row>
    <row r="1471" spans="1:3" x14ac:dyDescent="0.25">
      <c r="A1471">
        <f t="shared" si="86"/>
        <v>293.79999999999188</v>
      </c>
      <c r="B1471" s="2">
        <f t="shared" si="85"/>
        <v>35.160000000000004</v>
      </c>
      <c r="C1471" s="2">
        <f t="shared" si="84"/>
        <v>0</v>
      </c>
    </row>
    <row r="1472" spans="1:3" x14ac:dyDescent="0.25">
      <c r="A1472">
        <f t="shared" si="86"/>
        <v>293.99999999999187</v>
      </c>
      <c r="B1472" s="2">
        <f t="shared" si="85"/>
        <v>35.160000000000004</v>
      </c>
      <c r="C1472" s="2">
        <f t="shared" si="84"/>
        <v>0</v>
      </c>
    </row>
    <row r="1473" spans="1:3" x14ac:dyDescent="0.25">
      <c r="A1473">
        <f t="shared" si="86"/>
        <v>294.19999999999186</v>
      </c>
      <c r="B1473" s="2">
        <f t="shared" si="85"/>
        <v>35.160000000000004</v>
      </c>
      <c r="C1473" s="2">
        <f t="shared" si="84"/>
        <v>0</v>
      </c>
    </row>
    <row r="1474" spans="1:3" x14ac:dyDescent="0.25">
      <c r="A1474">
        <f t="shared" si="86"/>
        <v>294.39999999999185</v>
      </c>
      <c r="B1474" s="2">
        <f t="shared" si="85"/>
        <v>35.160000000000004</v>
      </c>
      <c r="C1474" s="2">
        <f t="shared" si="84"/>
        <v>0</v>
      </c>
    </row>
    <row r="1475" spans="1:3" x14ac:dyDescent="0.25">
      <c r="A1475">
        <f t="shared" si="86"/>
        <v>294.59999999999184</v>
      </c>
      <c r="B1475" s="2">
        <f t="shared" si="85"/>
        <v>35.160000000000004</v>
      </c>
      <c r="C1475" s="2">
        <f t="shared" ref="C1475:C1502" si="87">INDEX($K$3:$K$40,MATCH(A1475,$H$2:$H$40,1))</f>
        <v>0</v>
      </c>
    </row>
    <row r="1476" spans="1:3" x14ac:dyDescent="0.25">
      <c r="A1476">
        <f t="shared" si="86"/>
        <v>294.79999999999183</v>
      </c>
      <c r="B1476" s="2">
        <f t="shared" ref="B1476:B1502" si="88">B1475+C1475</f>
        <v>35.160000000000004</v>
      </c>
      <c r="C1476" s="2">
        <f t="shared" si="87"/>
        <v>0</v>
      </c>
    </row>
    <row r="1477" spans="1:3" x14ac:dyDescent="0.25">
      <c r="A1477">
        <f t="shared" si="86"/>
        <v>294.99999999999181</v>
      </c>
      <c r="B1477" s="2">
        <f t="shared" si="88"/>
        <v>35.160000000000004</v>
      </c>
      <c r="C1477" s="2">
        <f t="shared" si="87"/>
        <v>0</v>
      </c>
    </row>
    <row r="1478" spans="1:3" x14ac:dyDescent="0.25">
      <c r="A1478">
        <f t="shared" si="86"/>
        <v>295.1999999999918</v>
      </c>
      <c r="B1478" s="2">
        <f t="shared" si="88"/>
        <v>35.160000000000004</v>
      </c>
      <c r="C1478" s="2">
        <f t="shared" si="87"/>
        <v>0</v>
      </c>
    </row>
    <row r="1479" spans="1:3" x14ac:dyDescent="0.25">
      <c r="A1479">
        <f t="shared" si="86"/>
        <v>295.39999999999179</v>
      </c>
      <c r="B1479" s="2">
        <f t="shared" si="88"/>
        <v>35.160000000000004</v>
      </c>
      <c r="C1479" s="2">
        <f t="shared" si="87"/>
        <v>0</v>
      </c>
    </row>
    <row r="1480" spans="1:3" x14ac:dyDescent="0.25">
      <c r="A1480">
        <f t="shared" si="86"/>
        <v>295.59999999999178</v>
      </c>
      <c r="B1480" s="2">
        <f t="shared" si="88"/>
        <v>35.160000000000004</v>
      </c>
      <c r="C1480" s="2">
        <f t="shared" si="87"/>
        <v>0</v>
      </c>
    </row>
    <row r="1481" spans="1:3" x14ac:dyDescent="0.25">
      <c r="A1481">
        <f t="shared" si="86"/>
        <v>295.79999999999177</v>
      </c>
      <c r="B1481" s="2">
        <f t="shared" si="88"/>
        <v>35.160000000000004</v>
      </c>
      <c r="C1481" s="2">
        <f t="shared" si="87"/>
        <v>0</v>
      </c>
    </row>
    <row r="1482" spans="1:3" x14ac:dyDescent="0.25">
      <c r="A1482">
        <f t="shared" si="86"/>
        <v>295.99999999999176</v>
      </c>
      <c r="B1482" s="2">
        <f t="shared" si="88"/>
        <v>35.160000000000004</v>
      </c>
      <c r="C1482" s="2">
        <f t="shared" si="87"/>
        <v>0</v>
      </c>
    </row>
    <row r="1483" spans="1:3" x14ac:dyDescent="0.25">
      <c r="A1483">
        <f t="shared" si="86"/>
        <v>296.19999999999175</v>
      </c>
      <c r="B1483" s="2">
        <f t="shared" si="88"/>
        <v>35.160000000000004</v>
      </c>
      <c r="C1483" s="2">
        <f t="shared" si="87"/>
        <v>0</v>
      </c>
    </row>
    <row r="1484" spans="1:3" x14ac:dyDescent="0.25">
      <c r="A1484">
        <f t="shared" si="86"/>
        <v>296.39999999999173</v>
      </c>
      <c r="B1484" s="2">
        <f t="shared" si="88"/>
        <v>35.160000000000004</v>
      </c>
      <c r="C1484" s="2">
        <f t="shared" si="87"/>
        <v>0</v>
      </c>
    </row>
    <row r="1485" spans="1:3" x14ac:dyDescent="0.25">
      <c r="A1485">
        <f t="shared" si="86"/>
        <v>296.59999999999172</v>
      </c>
      <c r="B1485" s="2">
        <f t="shared" si="88"/>
        <v>35.160000000000004</v>
      </c>
      <c r="C1485" s="2">
        <f t="shared" si="87"/>
        <v>0</v>
      </c>
    </row>
    <row r="1486" spans="1:3" x14ac:dyDescent="0.25">
      <c r="A1486">
        <f t="shared" si="86"/>
        <v>296.79999999999171</v>
      </c>
      <c r="B1486" s="2">
        <f t="shared" si="88"/>
        <v>35.160000000000004</v>
      </c>
      <c r="C1486" s="2">
        <f t="shared" si="87"/>
        <v>0</v>
      </c>
    </row>
    <row r="1487" spans="1:3" x14ac:dyDescent="0.25">
      <c r="A1487">
        <f t="shared" si="86"/>
        <v>296.9999999999917</v>
      </c>
      <c r="B1487" s="2">
        <f t="shared" si="88"/>
        <v>35.160000000000004</v>
      </c>
      <c r="C1487" s="2">
        <f t="shared" si="87"/>
        <v>0</v>
      </c>
    </row>
    <row r="1488" spans="1:3" x14ac:dyDescent="0.25">
      <c r="A1488">
        <f t="shared" si="86"/>
        <v>297.19999999999169</v>
      </c>
      <c r="B1488" s="2">
        <f t="shared" si="88"/>
        <v>35.160000000000004</v>
      </c>
      <c r="C1488" s="2">
        <f t="shared" si="87"/>
        <v>0</v>
      </c>
    </row>
    <row r="1489" spans="1:3" x14ac:dyDescent="0.25">
      <c r="A1489">
        <f t="shared" si="86"/>
        <v>297.39999999999168</v>
      </c>
      <c r="B1489" s="2">
        <f t="shared" si="88"/>
        <v>35.160000000000004</v>
      </c>
      <c r="C1489" s="2">
        <f t="shared" si="87"/>
        <v>0</v>
      </c>
    </row>
    <row r="1490" spans="1:3" x14ac:dyDescent="0.25">
      <c r="A1490">
        <f t="shared" si="86"/>
        <v>297.59999999999167</v>
      </c>
      <c r="B1490" s="2">
        <f t="shared" si="88"/>
        <v>35.160000000000004</v>
      </c>
      <c r="C1490" s="2">
        <f t="shared" si="87"/>
        <v>0</v>
      </c>
    </row>
    <row r="1491" spans="1:3" x14ac:dyDescent="0.25">
      <c r="A1491">
        <f t="shared" si="86"/>
        <v>297.79999999999166</v>
      </c>
      <c r="B1491" s="2">
        <f t="shared" si="88"/>
        <v>35.160000000000004</v>
      </c>
      <c r="C1491" s="2">
        <f t="shared" si="87"/>
        <v>0</v>
      </c>
    </row>
    <row r="1492" spans="1:3" x14ac:dyDescent="0.25">
      <c r="A1492">
        <f t="shared" si="86"/>
        <v>297.99999999999164</v>
      </c>
      <c r="B1492" s="2">
        <f t="shared" si="88"/>
        <v>35.160000000000004</v>
      </c>
      <c r="C1492" s="2">
        <f t="shared" si="87"/>
        <v>0</v>
      </c>
    </row>
    <row r="1493" spans="1:3" x14ac:dyDescent="0.25">
      <c r="A1493">
        <f t="shared" si="86"/>
        <v>298.19999999999163</v>
      </c>
      <c r="B1493" s="2">
        <f t="shared" si="88"/>
        <v>35.160000000000004</v>
      </c>
      <c r="C1493" s="2">
        <f t="shared" si="87"/>
        <v>0</v>
      </c>
    </row>
    <row r="1494" spans="1:3" x14ac:dyDescent="0.25">
      <c r="A1494">
        <f t="shared" si="86"/>
        <v>298.39999999999162</v>
      </c>
      <c r="B1494" s="2">
        <f t="shared" si="88"/>
        <v>35.160000000000004</v>
      </c>
      <c r="C1494" s="2">
        <f t="shared" si="87"/>
        <v>0</v>
      </c>
    </row>
    <row r="1495" spans="1:3" x14ac:dyDescent="0.25">
      <c r="A1495">
        <f t="shared" si="86"/>
        <v>298.59999999999161</v>
      </c>
      <c r="B1495" s="2">
        <f t="shared" si="88"/>
        <v>35.160000000000004</v>
      </c>
      <c r="C1495" s="2">
        <f t="shared" si="87"/>
        <v>0</v>
      </c>
    </row>
    <row r="1496" spans="1:3" x14ac:dyDescent="0.25">
      <c r="A1496">
        <f t="shared" si="86"/>
        <v>298.7999999999916</v>
      </c>
      <c r="B1496" s="2">
        <f t="shared" si="88"/>
        <v>35.160000000000004</v>
      </c>
      <c r="C1496" s="2">
        <f t="shared" si="87"/>
        <v>0</v>
      </c>
    </row>
    <row r="1497" spans="1:3" x14ac:dyDescent="0.25">
      <c r="A1497">
        <f t="shared" si="86"/>
        <v>298.99999999999159</v>
      </c>
      <c r="B1497" s="2">
        <f t="shared" si="88"/>
        <v>35.160000000000004</v>
      </c>
      <c r="C1497" s="2">
        <f t="shared" si="87"/>
        <v>0</v>
      </c>
    </row>
    <row r="1498" spans="1:3" x14ac:dyDescent="0.25">
      <c r="A1498">
        <f t="shared" si="86"/>
        <v>299.19999999999158</v>
      </c>
      <c r="B1498" s="2">
        <f t="shared" si="88"/>
        <v>35.160000000000004</v>
      </c>
      <c r="C1498" s="2">
        <f t="shared" si="87"/>
        <v>0</v>
      </c>
    </row>
    <row r="1499" spans="1:3" x14ac:dyDescent="0.25">
      <c r="A1499">
        <f t="shared" si="86"/>
        <v>299.39999999999156</v>
      </c>
      <c r="B1499" s="2">
        <f t="shared" si="88"/>
        <v>35.160000000000004</v>
      </c>
      <c r="C1499" s="2">
        <f t="shared" si="87"/>
        <v>0</v>
      </c>
    </row>
    <row r="1500" spans="1:3" x14ac:dyDescent="0.25">
      <c r="A1500">
        <f t="shared" si="86"/>
        <v>299.59999999999155</v>
      </c>
      <c r="B1500" s="2">
        <f t="shared" si="88"/>
        <v>35.160000000000004</v>
      </c>
      <c r="C1500" s="2">
        <f t="shared" si="87"/>
        <v>0</v>
      </c>
    </row>
    <row r="1501" spans="1:3" x14ac:dyDescent="0.25">
      <c r="A1501">
        <f t="shared" si="86"/>
        <v>299.79999999999154</v>
      </c>
      <c r="B1501" s="2">
        <f t="shared" si="88"/>
        <v>35.160000000000004</v>
      </c>
      <c r="C1501" s="2">
        <f t="shared" si="87"/>
        <v>0</v>
      </c>
    </row>
    <row r="1502" spans="1:3" x14ac:dyDescent="0.25">
      <c r="A1502">
        <f t="shared" si="86"/>
        <v>299.99999999999153</v>
      </c>
      <c r="B1502" s="2">
        <f t="shared" si="88"/>
        <v>35.160000000000004</v>
      </c>
      <c r="C1502" s="2">
        <f t="shared" si="87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OOL and Rack Data</vt:lpstr>
      <vt:lpstr>drive cycle</vt:lpstr>
      <vt:lpstr>a_1</vt:lpstr>
      <vt:lpstr>dn_dx</vt:lpstr>
      <vt:lpstr>idle_rpm</vt:lpstr>
      <vt:lpstr>nmax</vt:lpstr>
      <vt:lpstr>nt</vt:lpstr>
      <vt:lpstr>theta_t</vt:lpstr>
      <vt:lpstr>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 Borger</cp:lastModifiedBy>
  <dcterms:created xsi:type="dcterms:W3CDTF">2025-05-13T15:51:30Z</dcterms:created>
  <dcterms:modified xsi:type="dcterms:W3CDTF">2026-02-16T06:56:32Z</dcterms:modified>
</cp:coreProperties>
</file>